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nking Services" sheetId="1" state="visible" r:id="rId3"/>
    <sheet name="Online Courses" sheetId="2" state="visible" r:id="rId4"/>
    <sheet name="Electric Vehicl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<sst xmlns="http://schemas.openxmlformats.org/spreadsheetml/2006/main" count="675" uniqueCount="421">
  <si>
    <t xml:space="preserve">🏦  STACKLY BANKING — CUSTOMER ACCOUNTS DATASET</t>
  </si>
  <si>
    <t xml:space="preserve">Customer ID</t>
  </si>
  <si>
    <t xml:space="preserve">Full Name</t>
  </si>
  <si>
    <t xml:space="preserve">Age</t>
  </si>
  <si>
    <t xml:space="preserve">Account Type</t>
  </si>
  <si>
    <t xml:space="preserve">Account Number</t>
  </si>
  <si>
    <t xml:space="preserve">Balance ($)</t>
  </si>
  <si>
    <t xml:space="preserve">Credit Score</t>
  </si>
  <si>
    <t xml:space="preserve">Monthly Income ($)</t>
  </si>
  <si>
    <t xml:space="preserve">Loan Amount ($)</t>
  </si>
  <si>
    <t xml:space="preserve">Loan Status</t>
  </si>
  <si>
    <t xml:space="preserve">Join Date</t>
  </si>
  <si>
    <t xml:space="preserve">Branch</t>
  </si>
  <si>
    <t xml:space="preserve">CUST1000</t>
  </si>
  <si>
    <t xml:space="preserve">Arjun Sharma</t>
  </si>
  <si>
    <t xml:space="preserve">Savings</t>
  </si>
  <si>
    <t xml:space="preserve">SB42868828</t>
  </si>
  <si>
    <t xml:space="preserve">None</t>
  </si>
  <si>
    <t xml:space="preserve">2023-02-19</t>
  </si>
  <si>
    <t xml:space="preserve">Kolkata</t>
  </si>
  <si>
    <t xml:space="preserve">CUST1001</t>
  </si>
  <si>
    <t xml:space="preserve">Priya Nair</t>
  </si>
  <si>
    <t xml:space="preserve">SB39345092</t>
  </si>
  <si>
    <t xml:space="preserve">2023-07-08</t>
  </si>
  <si>
    <t xml:space="preserve">Ahmedabad</t>
  </si>
  <si>
    <t xml:space="preserve">CUST1002</t>
  </si>
  <si>
    <t xml:space="preserve">Kiran Patel</t>
  </si>
  <si>
    <t xml:space="preserve">Premium Savings</t>
  </si>
  <si>
    <t xml:space="preserve">SB66722344</t>
  </si>
  <si>
    <t xml:space="preserve">Paid Off</t>
  </si>
  <si>
    <t xml:space="preserve">2020-02-03</t>
  </si>
  <si>
    <t xml:space="preserve">CUST1003</t>
  </si>
  <si>
    <t xml:space="preserve">Sneha Reddy</t>
  </si>
  <si>
    <t xml:space="preserve">SB45503389</t>
  </si>
  <si>
    <t xml:space="preserve">2021-02-18</t>
  </si>
  <si>
    <t xml:space="preserve">Hyderabad</t>
  </si>
  <si>
    <t xml:space="preserve">CUST1004</t>
  </si>
  <si>
    <t xml:space="preserve">Rahul Verma</t>
  </si>
  <si>
    <t xml:space="preserve">SB19335534</t>
  </si>
  <si>
    <t xml:space="preserve">2016-04-28</t>
  </si>
  <si>
    <t xml:space="preserve">Delhi</t>
  </si>
  <si>
    <t xml:space="preserve">CUST1005</t>
  </si>
  <si>
    <t xml:space="preserve">Anjali Singh</t>
  </si>
  <si>
    <t xml:space="preserve">Current</t>
  </si>
  <si>
    <t xml:space="preserve">SB58966946</t>
  </si>
  <si>
    <t xml:space="preserve">2019-12-22</t>
  </si>
  <si>
    <t xml:space="preserve">CUST1006</t>
  </si>
  <si>
    <t xml:space="preserve">Deepak Mehta</t>
  </si>
  <si>
    <t xml:space="preserve">SB31931511</t>
  </si>
  <si>
    <t xml:space="preserve">Active</t>
  </si>
  <si>
    <t xml:space="preserve">2023-04-22</t>
  </si>
  <si>
    <t xml:space="preserve">Pune</t>
  </si>
  <si>
    <t xml:space="preserve">CUST1007</t>
  </si>
  <si>
    <t xml:space="preserve">Pooja Iyer</t>
  </si>
  <si>
    <t xml:space="preserve">SB63843426</t>
  </si>
  <si>
    <t xml:space="preserve">2024-12-11</t>
  </si>
  <si>
    <t xml:space="preserve">Bangalore</t>
  </si>
  <si>
    <t xml:space="preserve">CUST1008</t>
  </si>
  <si>
    <t xml:space="preserve">Vivek Kumar</t>
  </si>
  <si>
    <t xml:space="preserve">SB45551614</t>
  </si>
  <si>
    <t xml:space="preserve">Defaulted</t>
  </si>
  <si>
    <t xml:space="preserve">2024-07-19</t>
  </si>
  <si>
    <t xml:space="preserve">CUST1009</t>
  </si>
  <si>
    <t xml:space="preserve">Nisha Gupta</t>
  </si>
  <si>
    <t xml:space="preserve">Fixed Deposit</t>
  </si>
  <si>
    <t xml:space="preserve">SB76238574</t>
  </si>
  <si>
    <t xml:space="preserve">2017-11-06</t>
  </si>
  <si>
    <t xml:space="preserve">CUST1010</t>
  </si>
  <si>
    <t xml:space="preserve">Suresh Babu</t>
  </si>
  <si>
    <t xml:space="preserve">SB61220073</t>
  </si>
  <si>
    <t xml:space="preserve">2023-01-22</t>
  </si>
  <si>
    <t xml:space="preserve">CUST1011</t>
  </si>
  <si>
    <t xml:space="preserve">Lakshmi Rao</t>
  </si>
  <si>
    <t xml:space="preserve">SB49392920</t>
  </si>
  <si>
    <t xml:space="preserve">2019-09-25</t>
  </si>
  <si>
    <t xml:space="preserve">Chennai</t>
  </si>
  <si>
    <t xml:space="preserve">CUST1012</t>
  </si>
  <si>
    <t xml:space="preserve">Manish Joshi</t>
  </si>
  <si>
    <t xml:space="preserve">SB50056581</t>
  </si>
  <si>
    <t xml:space="preserve">2017-06-25</t>
  </si>
  <si>
    <t xml:space="preserve">CUST1013</t>
  </si>
  <si>
    <t xml:space="preserve">Divya Thomas</t>
  </si>
  <si>
    <t xml:space="preserve">SB53507489</t>
  </si>
  <si>
    <t xml:space="preserve">Pending</t>
  </si>
  <si>
    <t xml:space="preserve">2019-04-02</t>
  </si>
  <si>
    <t xml:space="preserve">CUST1014</t>
  </si>
  <si>
    <t xml:space="preserve">Aakash Malik</t>
  </si>
  <si>
    <t xml:space="preserve">SB75228535</t>
  </si>
  <si>
    <t xml:space="preserve">2017-11-16</t>
  </si>
  <si>
    <t xml:space="preserve">CUST1015</t>
  </si>
  <si>
    <t xml:space="preserve">Rekha Pillai</t>
  </si>
  <si>
    <t xml:space="preserve">SB82383095</t>
  </si>
  <si>
    <t xml:space="preserve">2021-11-21</t>
  </si>
  <si>
    <t xml:space="preserve">CUST1016</t>
  </si>
  <si>
    <t xml:space="preserve">Sameer Khan</t>
  </si>
  <si>
    <t xml:space="preserve">SB43273328</t>
  </si>
  <si>
    <t xml:space="preserve">2023-04-19</t>
  </si>
  <si>
    <t xml:space="preserve">CUST1017</t>
  </si>
  <si>
    <t xml:space="preserve">Tanvi Desai</t>
  </si>
  <si>
    <t xml:space="preserve">SB17901903</t>
  </si>
  <si>
    <t xml:space="preserve">2016-09-08</t>
  </si>
  <si>
    <t xml:space="preserve">CUST1018</t>
  </si>
  <si>
    <t xml:space="preserve">Rohit Kapoor</t>
  </si>
  <si>
    <t xml:space="preserve">SB86644106</t>
  </si>
  <si>
    <t xml:space="preserve">2021-04-04</t>
  </si>
  <si>
    <t xml:space="preserve">CUST1019</t>
  </si>
  <si>
    <t xml:space="preserve">Meena Nair</t>
  </si>
  <si>
    <t xml:space="preserve">SB72682989</t>
  </si>
  <si>
    <t xml:space="preserve">2016-01-13</t>
  </si>
  <si>
    <t xml:space="preserve">CUST1020</t>
  </si>
  <si>
    <t xml:space="preserve">Sanjay Tiwari</t>
  </si>
  <si>
    <t xml:space="preserve">SB81979055</t>
  </si>
  <si>
    <t xml:space="preserve">2022-04-28</t>
  </si>
  <si>
    <t xml:space="preserve">CUST1021</t>
  </si>
  <si>
    <t xml:space="preserve">Kavitha Rajan</t>
  </si>
  <si>
    <t xml:space="preserve">SB97529405</t>
  </si>
  <si>
    <t xml:space="preserve">2018-03-14</t>
  </si>
  <si>
    <t xml:space="preserve">CUST1022</t>
  </si>
  <si>
    <t xml:space="preserve">Aman Bhatt</t>
  </si>
  <si>
    <t xml:space="preserve">SB32097220</t>
  </si>
  <si>
    <t xml:space="preserve">2022-05-14</t>
  </si>
  <si>
    <t xml:space="preserve">CUST1023</t>
  </si>
  <si>
    <t xml:space="preserve">Sunita Yadav</t>
  </si>
  <si>
    <t xml:space="preserve">Checking</t>
  </si>
  <si>
    <t xml:space="preserve">SB17849494</t>
  </si>
  <si>
    <t xml:space="preserve">2020-01-02</t>
  </si>
  <si>
    <t xml:space="preserve">CUST1024</t>
  </si>
  <si>
    <t xml:space="preserve">Farhan Ahmed</t>
  </si>
  <si>
    <t xml:space="preserve">SB78159587</t>
  </si>
  <si>
    <t xml:space="preserve">2016-11-28</t>
  </si>
  <si>
    <t xml:space="preserve">CUST1025</t>
  </si>
  <si>
    <t xml:space="preserve">Geeta Menon</t>
  </si>
  <si>
    <t xml:space="preserve">SB43046464</t>
  </si>
  <si>
    <t xml:space="preserve">2021-11-19</t>
  </si>
  <si>
    <t xml:space="preserve">CUST1026</t>
  </si>
  <si>
    <t xml:space="preserve">Ravi Shankar</t>
  </si>
  <si>
    <t xml:space="preserve">SB45650176</t>
  </si>
  <si>
    <t xml:space="preserve">2016-01-15</t>
  </si>
  <si>
    <t xml:space="preserve">CUST1027</t>
  </si>
  <si>
    <t xml:space="preserve">Pallavi Choudhary</t>
  </si>
  <si>
    <t xml:space="preserve">SB45594597</t>
  </si>
  <si>
    <t xml:space="preserve">2018-06-10</t>
  </si>
  <si>
    <t xml:space="preserve">CUST1028</t>
  </si>
  <si>
    <t xml:space="preserve">Nikhil Roy</t>
  </si>
  <si>
    <t xml:space="preserve">SB97775215</t>
  </si>
  <si>
    <t xml:space="preserve">2016-03-09</t>
  </si>
  <si>
    <t xml:space="preserve">CUST1029</t>
  </si>
  <si>
    <t xml:space="preserve">Asha Krishnan</t>
  </si>
  <si>
    <t xml:space="preserve">SB47816686</t>
  </si>
  <si>
    <t xml:space="preserve">2019-09-16</t>
  </si>
  <si>
    <t xml:space="preserve">TOTALS / AVERAGES</t>
  </si>
  <si>
    <t xml:space="preserve">🎓  ONLINE COURSE PLATFORM — ENROLLMENT &amp; PERFORMANCE DATASET</t>
  </si>
  <si>
    <t xml:space="preserve">Enrollment ID</t>
  </si>
  <si>
    <t xml:space="preserve">Student Name</t>
  </si>
  <si>
    <t xml:space="preserve">Course Title</t>
  </si>
  <si>
    <t xml:space="preserve">Category</t>
  </si>
  <si>
    <t xml:space="preserve">Instructor</t>
  </si>
  <si>
    <t xml:space="preserve">Enrollment Date</t>
  </si>
  <si>
    <t xml:space="preserve">Completion %</t>
  </si>
  <si>
    <t xml:space="preserve">Score (%)</t>
  </si>
  <si>
    <t xml:space="preserve">Certificate</t>
  </si>
  <si>
    <t xml:space="preserve">Duration (hrs)</t>
  </si>
  <si>
    <t xml:space="preserve">Price ($)</t>
  </si>
  <si>
    <t xml:space="preserve">Rating (5)</t>
  </si>
  <si>
    <t xml:space="preserve">Status</t>
  </si>
  <si>
    <t xml:space="preserve">ENR2000</t>
  </si>
  <si>
    <t xml:space="preserve">Aditya Verma</t>
  </si>
  <si>
    <t xml:space="preserve">Financial Modelling</t>
  </si>
  <si>
    <t xml:space="preserve">Finance</t>
  </si>
  <si>
    <t xml:space="preserve">Rahul Mehta</t>
  </si>
  <si>
    <t xml:space="preserve">2022-04-27</t>
  </si>
  <si>
    <t xml:space="preserve">No</t>
  </si>
  <si>
    <t xml:space="preserve">In Progress</t>
  </si>
  <si>
    <t xml:space="preserve">ENR2001</t>
  </si>
  <si>
    <t xml:space="preserve">Bhavna Rao</t>
  </si>
  <si>
    <t xml:space="preserve">Business Communication</t>
  </si>
  <si>
    <t xml:space="preserve">Soft Skills</t>
  </si>
  <si>
    <t xml:space="preserve">Deepak Joshi</t>
  </si>
  <si>
    <t xml:space="preserve">2024-11-22</t>
  </si>
  <si>
    <t xml:space="preserve">ENR2002</t>
  </si>
  <si>
    <t xml:space="preserve">Chetan Iyer</t>
  </si>
  <si>
    <t xml:space="preserve">Data Analytics with Excel</t>
  </si>
  <si>
    <t xml:space="preserve">Data Science</t>
  </si>
  <si>
    <t xml:space="preserve">Suresh Kumar</t>
  </si>
  <si>
    <t xml:space="preserve">2022-09-27</t>
  </si>
  <si>
    <t xml:space="preserve">ENR2003</t>
  </si>
  <si>
    <t xml:space="preserve">Divya Reddy</t>
  </si>
  <si>
    <t xml:space="preserve">Machine Learning A-Z</t>
  </si>
  <si>
    <t xml:space="preserve">Prof. Sneha Rao</t>
  </si>
  <si>
    <t xml:space="preserve">2023-09-16</t>
  </si>
  <si>
    <t xml:space="preserve">ENR2004</t>
  </si>
  <si>
    <t xml:space="preserve">Esha Patel</t>
  </si>
  <si>
    <t xml:space="preserve">Digital Marketing Pro</t>
  </si>
  <si>
    <t xml:space="preserve">Marketing</t>
  </si>
  <si>
    <t xml:space="preserve">2023-10-23</t>
  </si>
  <si>
    <t xml:space="preserve">ENR2005</t>
  </si>
  <si>
    <t xml:space="preserve">Farooq Sheikh</t>
  </si>
  <si>
    <t xml:space="preserve">2022-02-19</t>
  </si>
  <si>
    <t xml:space="preserve">ENR2006</t>
  </si>
  <si>
    <t xml:space="preserve">Gita Menon</t>
  </si>
  <si>
    <t xml:space="preserve">Photography Masterclass</t>
  </si>
  <si>
    <t xml:space="preserve">Creative</t>
  </si>
  <si>
    <t xml:space="preserve">2023-11-25</t>
  </si>
  <si>
    <t xml:space="preserve">ENR2007</t>
  </si>
  <si>
    <t xml:space="preserve">Hari Prasad</t>
  </si>
  <si>
    <t xml:space="preserve">2023-10-20</t>
  </si>
  <si>
    <t xml:space="preserve">ENR2008</t>
  </si>
  <si>
    <t xml:space="preserve">Isha Kapoor</t>
  </si>
  <si>
    <t xml:space="preserve">UI/UX Fundamentals</t>
  </si>
  <si>
    <t xml:space="preserve">Design</t>
  </si>
  <si>
    <t xml:space="preserve">Priya Thomas</t>
  </si>
  <si>
    <t xml:space="preserve">2023-01-02</t>
  </si>
  <si>
    <t xml:space="preserve">ENR2009</t>
  </si>
  <si>
    <t xml:space="preserve">Jayant Tiwari</t>
  </si>
  <si>
    <t xml:space="preserve">React &amp; Node.js</t>
  </si>
  <si>
    <t xml:space="preserve">Programming</t>
  </si>
  <si>
    <t xml:space="preserve">Vivek Sharma</t>
  </si>
  <si>
    <t xml:space="preserve">2023-09-19</t>
  </si>
  <si>
    <t xml:space="preserve">ENR2010</t>
  </si>
  <si>
    <t xml:space="preserve">Kavya Nair</t>
  </si>
  <si>
    <t xml:space="preserve">2024-02-01</t>
  </si>
  <si>
    <t xml:space="preserve">ENR2011</t>
  </si>
  <si>
    <t xml:space="preserve">Lokesh Kumar</t>
  </si>
  <si>
    <t xml:space="preserve">2022-08-05</t>
  </si>
  <si>
    <t xml:space="preserve">ENR2012</t>
  </si>
  <si>
    <t xml:space="preserve">Mithun Das</t>
  </si>
  <si>
    <t xml:space="preserve">2023-02-28</t>
  </si>
  <si>
    <t xml:space="preserve">ENR2013</t>
  </si>
  <si>
    <t xml:space="preserve">Nalini Gupta</t>
  </si>
  <si>
    <t xml:space="preserve">2022-01-02</t>
  </si>
  <si>
    <t xml:space="preserve">ENR2014</t>
  </si>
  <si>
    <t xml:space="preserve">Om Prakash</t>
  </si>
  <si>
    <t xml:space="preserve">2023-09-09</t>
  </si>
  <si>
    <t xml:space="preserve">ENR2015</t>
  </si>
  <si>
    <t xml:space="preserve">Preethi Raj</t>
  </si>
  <si>
    <t xml:space="preserve">2024-05-10</t>
  </si>
  <si>
    <t xml:space="preserve">ENR2016</t>
  </si>
  <si>
    <t xml:space="preserve">Qadir Hussain</t>
  </si>
  <si>
    <t xml:space="preserve">2022-12-05</t>
  </si>
  <si>
    <t xml:space="preserve">ENR2017</t>
  </si>
  <si>
    <t xml:space="preserve">Ritu Sharma</t>
  </si>
  <si>
    <t xml:space="preserve">2022-07-06</t>
  </si>
  <si>
    <t xml:space="preserve">ENR2018</t>
  </si>
  <si>
    <t xml:space="preserve">Sagar Bhatt</t>
  </si>
  <si>
    <t xml:space="preserve">2024-07-07</t>
  </si>
  <si>
    <t xml:space="preserve">ENR2019</t>
  </si>
  <si>
    <t xml:space="preserve">Tanya Singh</t>
  </si>
  <si>
    <t xml:space="preserve">2023-04-25</t>
  </si>
  <si>
    <t xml:space="preserve">ENR2020</t>
  </si>
  <si>
    <t xml:space="preserve">Umesh Yadav</t>
  </si>
  <si>
    <t xml:space="preserve">2023-09-18</t>
  </si>
  <si>
    <t xml:space="preserve">ENR2021</t>
  </si>
  <si>
    <t xml:space="preserve">Vandana Pillai</t>
  </si>
  <si>
    <t xml:space="preserve">2023-02-09</t>
  </si>
  <si>
    <t xml:space="preserve">Yes</t>
  </si>
  <si>
    <t xml:space="preserve">Completed</t>
  </si>
  <si>
    <t xml:space="preserve">ENR2022</t>
  </si>
  <si>
    <t xml:space="preserve">Wasim Khan</t>
  </si>
  <si>
    <t xml:space="preserve">Python for Beginners</t>
  </si>
  <si>
    <t xml:space="preserve">Dr. Arjun Dev</t>
  </si>
  <si>
    <t xml:space="preserve">2024-10-18</t>
  </si>
  <si>
    <t xml:space="preserve">ENR2023</t>
  </si>
  <si>
    <t xml:space="preserve">Xena D'Souza</t>
  </si>
  <si>
    <t xml:space="preserve">2024-12-27</t>
  </si>
  <si>
    <t xml:space="preserve">ENR2024</t>
  </si>
  <si>
    <t xml:space="preserve">Yash Malhotra</t>
  </si>
  <si>
    <t xml:space="preserve">2024-12-20</t>
  </si>
  <si>
    <t xml:space="preserve">ENR2025</t>
  </si>
  <si>
    <t xml:space="preserve">Zara Fernandez</t>
  </si>
  <si>
    <t xml:space="preserve">2023-11-20</t>
  </si>
  <si>
    <t xml:space="preserve">ENR2026</t>
  </si>
  <si>
    <t xml:space="preserve">Anand Raman</t>
  </si>
  <si>
    <t xml:space="preserve">Web Design Bootcamp</t>
  </si>
  <si>
    <t xml:space="preserve">2024-02-14</t>
  </si>
  <si>
    <t xml:space="preserve">ENR2027</t>
  </si>
  <si>
    <t xml:space="preserve">Bala Murugan</t>
  </si>
  <si>
    <t xml:space="preserve">2024-05-27</t>
  </si>
  <si>
    <t xml:space="preserve">ENR2028</t>
  </si>
  <si>
    <t xml:space="preserve">Chitra Bansal</t>
  </si>
  <si>
    <t xml:space="preserve">2024-02-03</t>
  </si>
  <si>
    <t xml:space="preserve">ENR2029</t>
  </si>
  <si>
    <t xml:space="preserve">Dinesh Soni</t>
  </si>
  <si>
    <t xml:space="preserve">2022-03-24</t>
  </si>
  <si>
    <t xml:space="preserve">⚡  ELECTRIC VEHICLE PLATFORM — INVENTORY &amp; SALES DATASET</t>
  </si>
  <si>
    <t xml:space="preserve">Vehicle ID</t>
  </si>
  <si>
    <t xml:space="preserve">Model</t>
  </si>
  <si>
    <t xml:space="preserve">Brand</t>
  </si>
  <si>
    <t xml:space="preserve">Type</t>
  </si>
  <si>
    <t xml:space="preserve">Year</t>
  </si>
  <si>
    <t xml:space="preserve">Color</t>
  </si>
  <si>
    <t xml:space="preserve">Battery (kWh)</t>
  </si>
  <si>
    <t xml:space="preserve">Range (km)</t>
  </si>
  <si>
    <t xml:space="preserve">Top Speed (km/h)</t>
  </si>
  <si>
    <t xml:space="preserve">Charge Time (hrs)</t>
  </si>
  <si>
    <t xml:space="preserve">Units Sold</t>
  </si>
  <si>
    <t xml:space="preserve">Stock Left</t>
  </si>
  <si>
    <t xml:space="preserve">Availability</t>
  </si>
  <si>
    <t xml:space="preserve">EV3000</t>
  </si>
  <si>
    <t xml:space="preserve">Model S Plaid</t>
  </si>
  <si>
    <t xml:space="preserve">Tesla</t>
  </si>
  <si>
    <t xml:space="preserve">Sedan</t>
  </si>
  <si>
    <t xml:space="preserve">Midnight Black</t>
  </si>
  <si>
    <t xml:space="preserve">Limited</t>
  </si>
  <si>
    <t xml:space="preserve">EV3001</t>
  </si>
  <si>
    <t xml:space="preserve">Model 3 LR</t>
  </si>
  <si>
    <t xml:space="preserve">Pearl White</t>
  </si>
  <si>
    <t xml:space="preserve">In Stock</t>
  </si>
  <si>
    <t xml:space="preserve">EV3002</t>
  </si>
  <si>
    <t xml:space="preserve">Ioniq 6</t>
  </si>
  <si>
    <t xml:space="preserve">Hyundai</t>
  </si>
  <si>
    <t xml:space="preserve">Gravity Gold</t>
  </si>
  <si>
    <t xml:space="preserve">EV3003</t>
  </si>
  <si>
    <t xml:space="preserve">EV6 GT</t>
  </si>
  <si>
    <t xml:space="preserve">Kia</t>
  </si>
  <si>
    <t xml:space="preserve">SUV</t>
  </si>
  <si>
    <t xml:space="preserve">Runway Red</t>
  </si>
  <si>
    <t xml:space="preserve">EV3004</t>
  </si>
  <si>
    <t xml:space="preserve">Tata Nexon EV</t>
  </si>
  <si>
    <t xml:space="preserve">Tata</t>
  </si>
  <si>
    <t xml:space="preserve">Pristine White</t>
  </si>
  <si>
    <t xml:space="preserve">EV3005</t>
  </si>
  <si>
    <t xml:space="preserve">Ather 450X</t>
  </si>
  <si>
    <t xml:space="preserve">Ather</t>
  </si>
  <si>
    <t xml:space="preserve">Scooter</t>
  </si>
  <si>
    <t xml:space="preserve">Space Grey</t>
  </si>
  <si>
    <t xml:space="preserve">EV3006</t>
  </si>
  <si>
    <t xml:space="preserve">ID.4 Pro</t>
  </si>
  <si>
    <t xml:space="preserve">Volkswagen</t>
  </si>
  <si>
    <t xml:space="preserve">Moonstone Grey</t>
  </si>
  <si>
    <t xml:space="preserve">EV3007</t>
  </si>
  <si>
    <t xml:space="preserve">Polestar 2</t>
  </si>
  <si>
    <t xml:space="preserve">Polestar</t>
  </si>
  <si>
    <t xml:space="preserve">Snow</t>
  </si>
  <si>
    <t xml:space="preserve">EV3008</t>
  </si>
  <si>
    <t xml:space="preserve">BYD Atto 3</t>
  </si>
  <si>
    <t xml:space="preserve">BYD</t>
  </si>
  <si>
    <t xml:space="preserve">Surf Blue</t>
  </si>
  <si>
    <t xml:space="preserve">EV3009</t>
  </si>
  <si>
    <t xml:space="preserve">Chevy Bolt EV</t>
  </si>
  <si>
    <t xml:space="preserve">Chevrolet</t>
  </si>
  <si>
    <t xml:space="preserve">Hatchback</t>
  </si>
  <si>
    <t xml:space="preserve">Vivid Orange</t>
  </si>
  <si>
    <t xml:space="preserve">EV3010</t>
  </si>
  <si>
    <t xml:space="preserve">Rivian R1T</t>
  </si>
  <si>
    <t xml:space="preserve">Rivian</t>
  </si>
  <si>
    <t xml:space="preserve">Pickup</t>
  </si>
  <si>
    <t xml:space="preserve">Forest Green</t>
  </si>
  <si>
    <t xml:space="preserve">EV3011</t>
  </si>
  <si>
    <t xml:space="preserve">MG ZS EV</t>
  </si>
  <si>
    <t xml:space="preserve">MG</t>
  </si>
  <si>
    <t xml:space="preserve">Aurora Silver</t>
  </si>
  <si>
    <t xml:space="preserve">EV3012</t>
  </si>
  <si>
    <t xml:space="preserve">Ola S1 Pro</t>
  </si>
  <si>
    <t xml:space="preserve">Ola Electric</t>
  </si>
  <si>
    <t xml:space="preserve">Porcelain White</t>
  </si>
  <si>
    <t xml:space="preserve">EV3013</t>
  </si>
  <si>
    <t xml:space="preserve">Audi e-tron GT</t>
  </si>
  <si>
    <t xml:space="preserve">Audi</t>
  </si>
  <si>
    <t xml:space="preserve">Tactical Green</t>
  </si>
  <si>
    <t xml:space="preserve">Out of Stock</t>
  </si>
  <si>
    <t xml:space="preserve">EV3014</t>
  </si>
  <si>
    <t xml:space="preserve">BMW iX</t>
  </si>
  <si>
    <t xml:space="preserve">BMW</t>
  </si>
  <si>
    <t xml:space="preserve">Mineral White</t>
  </si>
  <si>
    <t xml:space="preserve">EV3015</t>
  </si>
  <si>
    <t xml:space="preserve">Nissan Ariya</t>
  </si>
  <si>
    <t xml:space="preserve">Nissan</t>
  </si>
  <si>
    <t xml:space="preserve">Aurora Sunset</t>
  </si>
  <si>
    <t xml:space="preserve">EV3016</t>
  </si>
  <si>
    <t xml:space="preserve">Ford F-150 Lightning</t>
  </si>
  <si>
    <t xml:space="preserve">Ford</t>
  </si>
  <si>
    <t xml:space="preserve">Carbonized Grey</t>
  </si>
  <si>
    <t xml:space="preserve">EV3017</t>
  </si>
  <si>
    <t xml:space="preserve">Hyundai Kona EV</t>
  </si>
  <si>
    <t xml:space="preserve">Atlas White</t>
  </si>
  <si>
    <t xml:space="preserve">EV3018</t>
  </si>
  <si>
    <t xml:space="preserve">Lucid Air Pure</t>
  </si>
  <si>
    <t xml:space="preserve">Lucid</t>
  </si>
  <si>
    <t xml:space="preserve">Stellar White</t>
  </si>
  <si>
    <t xml:space="preserve">EV3019</t>
  </si>
  <si>
    <t xml:space="preserve">Mercedes EQS</t>
  </si>
  <si>
    <t xml:space="preserve">Mercedes</t>
  </si>
  <si>
    <t xml:space="preserve">High-Tech Silver</t>
  </si>
  <si>
    <t xml:space="preserve">EV3020</t>
  </si>
  <si>
    <t xml:space="preserve">Skoda Enyaq</t>
  </si>
  <si>
    <t xml:space="preserve">Skoda</t>
  </si>
  <si>
    <t xml:space="preserve">Moon White</t>
  </si>
  <si>
    <t xml:space="preserve">EV3021</t>
  </si>
  <si>
    <t xml:space="preserve">Volvo EX40</t>
  </si>
  <si>
    <t xml:space="preserve">Volvo</t>
  </si>
  <si>
    <t xml:space="preserve">Crystal White</t>
  </si>
  <si>
    <t xml:space="preserve">EV3022</t>
  </si>
  <si>
    <t xml:space="preserve">Xiaomi SU7</t>
  </si>
  <si>
    <t xml:space="preserve">Xiaomi</t>
  </si>
  <si>
    <t xml:space="preserve">Aqua Blue</t>
  </si>
  <si>
    <t xml:space="preserve">EV3023</t>
  </si>
  <si>
    <t xml:space="preserve">Mahindra XEV 9e</t>
  </si>
  <si>
    <t xml:space="preserve">Mahindra</t>
  </si>
  <si>
    <t xml:space="preserve">Nebula Blue</t>
  </si>
  <si>
    <t xml:space="preserve">EV3024</t>
  </si>
  <si>
    <t xml:space="preserve">Honda Prologue</t>
  </si>
  <si>
    <t xml:space="preserve">Honda</t>
  </si>
  <si>
    <t xml:space="preserve">Sonic Grey</t>
  </si>
  <si>
    <t xml:space="preserve">EV3025</t>
  </si>
  <si>
    <t xml:space="preserve">Toyota bZ4X</t>
  </si>
  <si>
    <t xml:space="preserve">Toyota</t>
  </si>
  <si>
    <t xml:space="preserve">Wind Chill Pearl</t>
  </si>
  <si>
    <t xml:space="preserve">EV3026</t>
  </si>
  <si>
    <t xml:space="preserve">GMC Hummer EV</t>
  </si>
  <si>
    <t xml:space="preserve">GMC</t>
  </si>
  <si>
    <t xml:space="preserve">Moonshot Green</t>
  </si>
  <si>
    <t xml:space="preserve">EV3027</t>
  </si>
  <si>
    <t xml:space="preserve">Fisker Ocean</t>
  </si>
  <si>
    <t xml:space="preserve">Fisker</t>
  </si>
  <si>
    <t xml:space="preserve">Limitless Blue</t>
  </si>
  <si>
    <t xml:space="preserve">EV3028</t>
  </si>
  <si>
    <t xml:space="preserve">Tata Tiago EV</t>
  </si>
  <si>
    <t xml:space="preserve">EV3029</t>
  </si>
  <si>
    <t xml:space="preserve">Bajaj Chetak</t>
  </si>
  <si>
    <t xml:space="preserve">Bajaj</t>
  </si>
  <si>
    <t xml:space="preserve">Hazel Bronze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</si>
</sst>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#,##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A3C5E"/>
        <bgColor rgb="FF1B4D3E"/>
      </patternFill>
    </fill>
    <fill>
      <patternFill patternType="solid">
        <fgColor rgb="FF2E6DA4"/>
        <bgColor rgb="FF3366FF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FFFFFF"/>
      </patternFill>
    </fill>
    <fill>
      <patternFill patternType="solid">
        <fgColor rgb="FF3B1F5E"/>
        <bgColor rgb="FF1A3C5E"/>
      </patternFill>
    </fill>
    <fill>
      <patternFill patternType="solid">
        <fgColor rgb="FF6A3C9C"/>
        <bgColor rgb="FF993366"/>
      </patternFill>
    </fill>
    <fill>
      <patternFill patternType="solid">
        <fgColor rgb="FF1B4D3E"/>
        <bgColor rgb="FF1A3C5E"/>
      </patternFill>
    </fill>
    <fill>
      <patternFill patternType="solid">
        <fgColor rgb="FF2E8B57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F5F5"/>
      <rgbColor rgb="FFCCFFFF"/>
      <rgbColor rgb="FF660066"/>
      <rgbColor rgb="FFFF8080"/>
      <rgbColor rgb="FF2E6DA4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1A3C5E"/>
      <rgbColor rgb="FF2E8B57"/>
      <rgbColor rgb="FF003300"/>
      <rgbColor rgb="FF1B4D3E"/>
      <rgbColor rgb="FF993300"/>
      <rgbColor rgb="FF993366"/>
      <rgbColor rgb="FF6A3C9C"/>
      <rgbColor rgb="FF3B1F5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6"/>
    <col collapsed="false" customWidth="true" hidden="false" outlineLevel="0" max="4" min="4" style="0" width="16"/>
    <col collapsed="false" customWidth="true" hidden="false" outlineLevel="0" max="6" min="5" style="0" width="14"/>
    <col collapsed="false" customWidth="true" hidden="false" outlineLevel="0" max="7" min="7" style="0" width="12"/>
    <col collapsed="false" customWidth="true" hidden="false" outlineLevel="0" max="8" min="8" style="0" width="16"/>
    <col collapsed="false" customWidth="true" hidden="false" outlineLevel="0" max="9" min="9" style="0" width="14"/>
    <col collapsed="false" customWidth="true" hidden="false" outlineLevel="0" max="12" min="10" style="0" width="12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9.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customFormat="false" ht="15" hidden="false" customHeight="false" outlineLevel="0" collapsed="false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customFormat="false" ht="15" hidden="false" customHeight="false" outlineLevel="0" collapsed="false">
      <c r="A5" s="4" t="s">
        <v>13</v>
      </c>
      <c r="B5" s="5" t="s">
        <v>14</v>
      </c>
      <c r="C5" s="4" t="n">
        <v>39</v>
      </c>
      <c r="D5" s="5" t="s">
        <v>15</v>
      </c>
      <c r="E5" s="5" t="s">
        <v>16</v>
      </c>
      <c r="F5" s="6" t="n">
        <v>338700.05</v>
      </c>
      <c r="G5" s="4" t="n">
        <v>602</v>
      </c>
      <c r="H5" s="6" t="n">
        <v>143422.41</v>
      </c>
      <c r="I5" s="7" t="n">
        <v>0</v>
      </c>
      <c r="J5" s="4" t="s">
        <v>17</v>
      </c>
      <c r="K5" s="4" t="s">
        <v>18</v>
      </c>
      <c r="L5" s="5" t="s">
        <v>19</v>
      </c>
    </row>
    <row r="6" customFormat="false" ht="15" hidden="false" customHeight="false" outlineLevel="0" collapsed="false">
      <c r="A6" s="8" t="s">
        <v>20</v>
      </c>
      <c r="B6" s="9" t="s">
        <v>21</v>
      </c>
      <c r="C6" s="8" t="n">
        <v>27</v>
      </c>
      <c r="D6" s="9" t="s">
        <v>15</v>
      </c>
      <c r="E6" s="9" t="s">
        <v>22</v>
      </c>
      <c r="F6" s="10" t="n">
        <v>352828.04</v>
      </c>
      <c r="G6" s="8" t="n">
        <v>563</v>
      </c>
      <c r="H6" s="10" t="n">
        <v>123217.89</v>
      </c>
      <c r="I6" s="11" t="n">
        <v>0</v>
      </c>
      <c r="J6" s="8" t="s">
        <v>17</v>
      </c>
      <c r="K6" s="8" t="s">
        <v>23</v>
      </c>
      <c r="L6" s="9" t="s">
        <v>24</v>
      </c>
    </row>
    <row r="7" customFormat="false" ht="15" hidden="false" customHeight="false" outlineLevel="0" collapsed="false">
      <c r="A7" s="4" t="s">
        <v>25</v>
      </c>
      <c r="B7" s="5" t="s">
        <v>26</v>
      </c>
      <c r="C7" s="4" t="n">
        <v>32</v>
      </c>
      <c r="D7" s="5" t="s">
        <v>27</v>
      </c>
      <c r="E7" s="5" t="s">
        <v>28</v>
      </c>
      <c r="F7" s="6" t="n">
        <v>513674.52</v>
      </c>
      <c r="G7" s="4" t="n">
        <v>629</v>
      </c>
      <c r="H7" s="6" t="n">
        <v>62679.91</v>
      </c>
      <c r="I7" s="7" t="n">
        <v>154515</v>
      </c>
      <c r="J7" s="4" t="s">
        <v>29</v>
      </c>
      <c r="K7" s="4" t="s">
        <v>30</v>
      </c>
      <c r="L7" s="5" t="s">
        <v>19</v>
      </c>
    </row>
    <row r="8" customFormat="false" ht="15" hidden="false" customHeight="false" outlineLevel="0" collapsed="false">
      <c r="A8" s="8" t="s">
        <v>31</v>
      </c>
      <c r="B8" s="9" t="s">
        <v>32</v>
      </c>
      <c r="C8" s="8" t="n">
        <v>60</v>
      </c>
      <c r="D8" s="9" t="s">
        <v>15</v>
      </c>
      <c r="E8" s="9" t="s">
        <v>33</v>
      </c>
      <c r="F8" s="10" t="n">
        <v>1211656.77</v>
      </c>
      <c r="G8" s="8" t="n">
        <v>785</v>
      </c>
      <c r="H8" s="10" t="n">
        <v>118839.92</v>
      </c>
      <c r="I8" s="11" t="n">
        <v>2985309</v>
      </c>
      <c r="J8" s="8" t="s">
        <v>29</v>
      </c>
      <c r="K8" s="8" t="s">
        <v>34</v>
      </c>
      <c r="L8" s="9" t="s">
        <v>35</v>
      </c>
    </row>
    <row r="9" customFormat="false" ht="15" hidden="false" customHeight="false" outlineLevel="0" collapsed="false">
      <c r="A9" s="4" t="s">
        <v>36</v>
      </c>
      <c r="B9" s="5" t="s">
        <v>37</v>
      </c>
      <c r="C9" s="4" t="n">
        <v>34</v>
      </c>
      <c r="D9" s="5" t="s">
        <v>27</v>
      </c>
      <c r="E9" s="5" t="s">
        <v>38</v>
      </c>
      <c r="F9" s="6" t="n">
        <v>73507.45</v>
      </c>
      <c r="G9" s="4" t="n">
        <v>666</v>
      </c>
      <c r="H9" s="6" t="n">
        <v>160286.96</v>
      </c>
      <c r="I9" s="7" t="n">
        <v>4943180</v>
      </c>
      <c r="J9" s="4" t="s">
        <v>29</v>
      </c>
      <c r="K9" s="4" t="s">
        <v>39</v>
      </c>
      <c r="L9" s="5" t="s">
        <v>40</v>
      </c>
    </row>
    <row r="10" customFormat="false" ht="15" hidden="false" customHeight="false" outlineLevel="0" collapsed="false">
      <c r="A10" s="8" t="s">
        <v>41</v>
      </c>
      <c r="B10" s="9" t="s">
        <v>42</v>
      </c>
      <c r="C10" s="8" t="n">
        <v>62</v>
      </c>
      <c r="D10" s="9" t="s">
        <v>43</v>
      </c>
      <c r="E10" s="9" t="s">
        <v>44</v>
      </c>
      <c r="F10" s="10" t="n">
        <v>248167.88</v>
      </c>
      <c r="G10" s="8" t="n">
        <v>731</v>
      </c>
      <c r="H10" s="10" t="n">
        <v>61663.73</v>
      </c>
      <c r="I10" s="11" t="n">
        <v>3903481</v>
      </c>
      <c r="J10" s="8" t="s">
        <v>29</v>
      </c>
      <c r="K10" s="8" t="s">
        <v>45</v>
      </c>
      <c r="L10" s="9" t="s">
        <v>40</v>
      </c>
    </row>
    <row r="11" customFormat="false" ht="15" hidden="false" customHeight="false" outlineLevel="0" collapsed="false">
      <c r="A11" s="4" t="s">
        <v>46</v>
      </c>
      <c r="B11" s="5" t="s">
        <v>47</v>
      </c>
      <c r="C11" s="4" t="n">
        <v>37</v>
      </c>
      <c r="D11" s="5" t="s">
        <v>27</v>
      </c>
      <c r="E11" s="5" t="s">
        <v>48</v>
      </c>
      <c r="F11" s="6" t="n">
        <v>696079.02</v>
      </c>
      <c r="G11" s="4" t="n">
        <v>688</v>
      </c>
      <c r="H11" s="6" t="n">
        <v>198166.59</v>
      </c>
      <c r="I11" s="7" t="n">
        <v>4580690</v>
      </c>
      <c r="J11" s="4" t="s">
        <v>49</v>
      </c>
      <c r="K11" s="4" t="s">
        <v>50</v>
      </c>
      <c r="L11" s="5" t="s">
        <v>51</v>
      </c>
    </row>
    <row r="12" customFormat="false" ht="15" hidden="false" customHeight="false" outlineLevel="0" collapsed="false">
      <c r="A12" s="8" t="s">
        <v>52</v>
      </c>
      <c r="B12" s="9" t="s">
        <v>53</v>
      </c>
      <c r="C12" s="8" t="n">
        <v>42</v>
      </c>
      <c r="D12" s="9" t="s">
        <v>15</v>
      </c>
      <c r="E12" s="9" t="s">
        <v>54</v>
      </c>
      <c r="F12" s="10" t="n">
        <v>405272.61</v>
      </c>
      <c r="G12" s="8" t="n">
        <v>658</v>
      </c>
      <c r="H12" s="10" t="n">
        <v>184798.82</v>
      </c>
      <c r="I12" s="11" t="n">
        <v>369276</v>
      </c>
      <c r="J12" s="8" t="s">
        <v>49</v>
      </c>
      <c r="K12" s="8" t="s">
        <v>55</v>
      </c>
      <c r="L12" s="9" t="s">
        <v>56</v>
      </c>
    </row>
    <row r="13" customFormat="false" ht="15" hidden="false" customHeight="false" outlineLevel="0" collapsed="false">
      <c r="A13" s="4" t="s">
        <v>57</v>
      </c>
      <c r="B13" s="5" t="s">
        <v>58</v>
      </c>
      <c r="C13" s="4" t="n">
        <v>31</v>
      </c>
      <c r="D13" s="5" t="s">
        <v>43</v>
      </c>
      <c r="E13" s="5" t="s">
        <v>59</v>
      </c>
      <c r="F13" s="6" t="n">
        <v>213747.33</v>
      </c>
      <c r="G13" s="4" t="n">
        <v>837</v>
      </c>
      <c r="H13" s="6" t="n">
        <v>119321.03</v>
      </c>
      <c r="I13" s="7" t="n">
        <v>3949128</v>
      </c>
      <c r="J13" s="4" t="s">
        <v>60</v>
      </c>
      <c r="K13" s="4" t="s">
        <v>61</v>
      </c>
      <c r="L13" s="5" t="s">
        <v>19</v>
      </c>
    </row>
    <row r="14" customFormat="false" ht="15" hidden="false" customHeight="false" outlineLevel="0" collapsed="false">
      <c r="A14" s="8" t="s">
        <v>62</v>
      </c>
      <c r="B14" s="9" t="s">
        <v>63</v>
      </c>
      <c r="C14" s="8" t="n">
        <v>54</v>
      </c>
      <c r="D14" s="9" t="s">
        <v>64</v>
      </c>
      <c r="E14" s="9" t="s">
        <v>65</v>
      </c>
      <c r="F14" s="10" t="n">
        <v>140909.57</v>
      </c>
      <c r="G14" s="8" t="n">
        <v>574</v>
      </c>
      <c r="H14" s="10" t="n">
        <v>175693.01</v>
      </c>
      <c r="I14" s="11" t="n">
        <v>1260410</v>
      </c>
      <c r="J14" s="8" t="s">
        <v>49</v>
      </c>
      <c r="K14" s="8" t="s">
        <v>66</v>
      </c>
      <c r="L14" s="9" t="s">
        <v>19</v>
      </c>
    </row>
    <row r="15" customFormat="false" ht="15" hidden="false" customHeight="false" outlineLevel="0" collapsed="false">
      <c r="A15" s="4" t="s">
        <v>67</v>
      </c>
      <c r="B15" s="5" t="s">
        <v>68</v>
      </c>
      <c r="C15" s="4" t="n">
        <v>46</v>
      </c>
      <c r="D15" s="5" t="s">
        <v>27</v>
      </c>
      <c r="E15" s="5" t="s">
        <v>69</v>
      </c>
      <c r="F15" s="6" t="n">
        <v>895853.2</v>
      </c>
      <c r="G15" s="4" t="n">
        <v>789</v>
      </c>
      <c r="H15" s="6" t="n">
        <v>117595.01</v>
      </c>
      <c r="I15" s="7" t="n">
        <v>0</v>
      </c>
      <c r="J15" s="4" t="s">
        <v>17</v>
      </c>
      <c r="K15" s="4" t="s">
        <v>70</v>
      </c>
      <c r="L15" s="5" t="s">
        <v>40</v>
      </c>
    </row>
    <row r="16" customFormat="false" ht="15" hidden="false" customHeight="false" outlineLevel="0" collapsed="false">
      <c r="A16" s="8" t="s">
        <v>71</v>
      </c>
      <c r="B16" s="9" t="s">
        <v>72</v>
      </c>
      <c r="C16" s="8" t="n">
        <v>29</v>
      </c>
      <c r="D16" s="9" t="s">
        <v>27</v>
      </c>
      <c r="E16" s="9" t="s">
        <v>73</v>
      </c>
      <c r="F16" s="10" t="n">
        <v>654974.05</v>
      </c>
      <c r="G16" s="8" t="n">
        <v>782</v>
      </c>
      <c r="H16" s="10" t="n">
        <v>25567.93</v>
      </c>
      <c r="I16" s="11" t="n">
        <v>2953598</v>
      </c>
      <c r="J16" s="8" t="s">
        <v>29</v>
      </c>
      <c r="K16" s="8" t="s">
        <v>74</v>
      </c>
      <c r="L16" s="9" t="s">
        <v>75</v>
      </c>
    </row>
    <row r="17" customFormat="false" ht="15" hidden="false" customHeight="false" outlineLevel="0" collapsed="false">
      <c r="A17" s="4" t="s">
        <v>76</v>
      </c>
      <c r="B17" s="5" t="s">
        <v>77</v>
      </c>
      <c r="C17" s="4" t="n">
        <v>62</v>
      </c>
      <c r="D17" s="5" t="s">
        <v>27</v>
      </c>
      <c r="E17" s="5" t="s">
        <v>78</v>
      </c>
      <c r="F17" s="6" t="n">
        <v>1263295.68</v>
      </c>
      <c r="G17" s="4" t="n">
        <v>809</v>
      </c>
      <c r="H17" s="6" t="n">
        <v>131569.79</v>
      </c>
      <c r="I17" s="7" t="n">
        <v>0</v>
      </c>
      <c r="J17" s="4" t="s">
        <v>17</v>
      </c>
      <c r="K17" s="4" t="s">
        <v>79</v>
      </c>
      <c r="L17" s="5" t="s">
        <v>75</v>
      </c>
    </row>
    <row r="18" customFormat="false" ht="15" hidden="false" customHeight="false" outlineLevel="0" collapsed="false">
      <c r="A18" s="8" t="s">
        <v>80</v>
      </c>
      <c r="B18" s="9" t="s">
        <v>81</v>
      </c>
      <c r="C18" s="8" t="n">
        <v>60</v>
      </c>
      <c r="D18" s="9" t="s">
        <v>27</v>
      </c>
      <c r="E18" s="9" t="s">
        <v>82</v>
      </c>
      <c r="F18" s="10" t="n">
        <v>735465.53</v>
      </c>
      <c r="G18" s="8" t="n">
        <v>607</v>
      </c>
      <c r="H18" s="10" t="n">
        <v>187592.26</v>
      </c>
      <c r="I18" s="11" t="n">
        <v>104797</v>
      </c>
      <c r="J18" s="8" t="s">
        <v>83</v>
      </c>
      <c r="K18" s="8" t="s">
        <v>84</v>
      </c>
      <c r="L18" s="9" t="s">
        <v>56</v>
      </c>
    </row>
    <row r="19" customFormat="false" ht="15" hidden="false" customHeight="false" outlineLevel="0" collapsed="false">
      <c r="A19" s="4" t="s">
        <v>85</v>
      </c>
      <c r="B19" s="5" t="s">
        <v>86</v>
      </c>
      <c r="C19" s="4" t="n">
        <v>27</v>
      </c>
      <c r="D19" s="5" t="s">
        <v>27</v>
      </c>
      <c r="E19" s="5" t="s">
        <v>87</v>
      </c>
      <c r="F19" s="6" t="n">
        <v>1224954.76</v>
      </c>
      <c r="G19" s="4" t="n">
        <v>822</v>
      </c>
      <c r="H19" s="6" t="n">
        <v>159021.03</v>
      </c>
      <c r="I19" s="7" t="n">
        <v>0</v>
      </c>
      <c r="J19" s="4" t="s">
        <v>17</v>
      </c>
      <c r="K19" s="4" t="s">
        <v>88</v>
      </c>
      <c r="L19" s="5" t="s">
        <v>75</v>
      </c>
    </row>
    <row r="20" customFormat="false" ht="15" hidden="false" customHeight="false" outlineLevel="0" collapsed="false">
      <c r="A20" s="8" t="s">
        <v>89</v>
      </c>
      <c r="B20" s="9" t="s">
        <v>90</v>
      </c>
      <c r="C20" s="8" t="n">
        <v>35</v>
      </c>
      <c r="D20" s="9" t="s">
        <v>64</v>
      </c>
      <c r="E20" s="9" t="s">
        <v>91</v>
      </c>
      <c r="F20" s="10" t="n">
        <v>1134121.47</v>
      </c>
      <c r="G20" s="8" t="n">
        <v>652</v>
      </c>
      <c r="H20" s="10" t="n">
        <v>149766.07</v>
      </c>
      <c r="I20" s="11" t="n">
        <v>3649538</v>
      </c>
      <c r="J20" s="8" t="s">
        <v>83</v>
      </c>
      <c r="K20" s="8" t="s">
        <v>92</v>
      </c>
      <c r="L20" s="9" t="s">
        <v>51</v>
      </c>
    </row>
    <row r="21" customFormat="false" ht="15" hidden="false" customHeight="false" outlineLevel="0" collapsed="false">
      <c r="A21" s="4" t="s">
        <v>93</v>
      </c>
      <c r="B21" s="5" t="s">
        <v>94</v>
      </c>
      <c r="C21" s="4" t="n">
        <v>29</v>
      </c>
      <c r="D21" s="5" t="s">
        <v>43</v>
      </c>
      <c r="E21" s="5" t="s">
        <v>95</v>
      </c>
      <c r="F21" s="6" t="n">
        <v>340922.52</v>
      </c>
      <c r="G21" s="4" t="n">
        <v>723</v>
      </c>
      <c r="H21" s="6" t="n">
        <v>28681</v>
      </c>
      <c r="I21" s="7" t="n">
        <v>3887340</v>
      </c>
      <c r="J21" s="4" t="s">
        <v>83</v>
      </c>
      <c r="K21" s="4" t="s">
        <v>96</v>
      </c>
      <c r="L21" s="5" t="s">
        <v>56</v>
      </c>
    </row>
    <row r="22" customFormat="false" ht="15" hidden="false" customHeight="false" outlineLevel="0" collapsed="false">
      <c r="A22" s="8" t="s">
        <v>97</v>
      </c>
      <c r="B22" s="9" t="s">
        <v>98</v>
      </c>
      <c r="C22" s="8" t="n">
        <v>62</v>
      </c>
      <c r="D22" s="9" t="s">
        <v>15</v>
      </c>
      <c r="E22" s="9" t="s">
        <v>99</v>
      </c>
      <c r="F22" s="10" t="n">
        <v>347267.97</v>
      </c>
      <c r="G22" s="8" t="n">
        <v>566</v>
      </c>
      <c r="H22" s="10" t="n">
        <v>175436.2</v>
      </c>
      <c r="I22" s="11" t="n">
        <v>0</v>
      </c>
      <c r="J22" s="8" t="s">
        <v>17</v>
      </c>
      <c r="K22" s="8" t="s">
        <v>100</v>
      </c>
      <c r="L22" s="9" t="s">
        <v>35</v>
      </c>
    </row>
    <row r="23" customFormat="false" ht="15" hidden="false" customHeight="false" outlineLevel="0" collapsed="false">
      <c r="A23" s="4" t="s">
        <v>101</v>
      </c>
      <c r="B23" s="5" t="s">
        <v>102</v>
      </c>
      <c r="C23" s="4" t="n">
        <v>30</v>
      </c>
      <c r="D23" s="5" t="s">
        <v>43</v>
      </c>
      <c r="E23" s="5" t="s">
        <v>103</v>
      </c>
      <c r="F23" s="6" t="n">
        <v>866436.42</v>
      </c>
      <c r="G23" s="4" t="n">
        <v>674</v>
      </c>
      <c r="H23" s="6" t="n">
        <v>162308.4</v>
      </c>
      <c r="I23" s="7" t="n">
        <v>4623422</v>
      </c>
      <c r="J23" s="4" t="s">
        <v>49</v>
      </c>
      <c r="K23" s="4" t="s">
        <v>104</v>
      </c>
      <c r="L23" s="5" t="s">
        <v>40</v>
      </c>
    </row>
    <row r="24" customFormat="false" ht="15" hidden="false" customHeight="false" outlineLevel="0" collapsed="false">
      <c r="A24" s="8" t="s">
        <v>105</v>
      </c>
      <c r="B24" s="9" t="s">
        <v>106</v>
      </c>
      <c r="C24" s="8" t="n">
        <v>48</v>
      </c>
      <c r="D24" s="9" t="s">
        <v>43</v>
      </c>
      <c r="E24" s="9" t="s">
        <v>107</v>
      </c>
      <c r="F24" s="10" t="n">
        <v>1296435.94</v>
      </c>
      <c r="G24" s="8" t="n">
        <v>577</v>
      </c>
      <c r="H24" s="10" t="n">
        <v>142838.8</v>
      </c>
      <c r="I24" s="11" t="n">
        <v>3653235</v>
      </c>
      <c r="J24" s="8" t="s">
        <v>29</v>
      </c>
      <c r="K24" s="8" t="s">
        <v>108</v>
      </c>
      <c r="L24" s="9" t="s">
        <v>51</v>
      </c>
    </row>
    <row r="25" customFormat="false" ht="15" hidden="false" customHeight="false" outlineLevel="0" collapsed="false">
      <c r="A25" s="4" t="s">
        <v>109</v>
      </c>
      <c r="B25" s="5" t="s">
        <v>110</v>
      </c>
      <c r="C25" s="4" t="n">
        <v>34</v>
      </c>
      <c r="D25" s="5" t="s">
        <v>15</v>
      </c>
      <c r="E25" s="5" t="s">
        <v>111</v>
      </c>
      <c r="F25" s="6" t="n">
        <v>675677.25</v>
      </c>
      <c r="G25" s="4" t="n">
        <v>766</v>
      </c>
      <c r="H25" s="6" t="n">
        <v>57110.41</v>
      </c>
      <c r="I25" s="7" t="n">
        <v>1707174</v>
      </c>
      <c r="J25" s="4" t="s">
        <v>49</v>
      </c>
      <c r="K25" s="4" t="s">
        <v>112</v>
      </c>
      <c r="L25" s="5" t="s">
        <v>40</v>
      </c>
    </row>
    <row r="26" customFormat="false" ht="15" hidden="false" customHeight="false" outlineLevel="0" collapsed="false">
      <c r="A26" s="8" t="s">
        <v>113</v>
      </c>
      <c r="B26" s="9" t="s">
        <v>114</v>
      </c>
      <c r="C26" s="8" t="n">
        <v>25</v>
      </c>
      <c r="D26" s="9" t="s">
        <v>43</v>
      </c>
      <c r="E26" s="9" t="s">
        <v>115</v>
      </c>
      <c r="F26" s="10" t="n">
        <v>1498927.29</v>
      </c>
      <c r="G26" s="8" t="n">
        <v>557</v>
      </c>
      <c r="H26" s="10" t="n">
        <v>194574.35</v>
      </c>
      <c r="I26" s="11" t="n">
        <v>921317</v>
      </c>
      <c r="J26" s="8" t="s">
        <v>83</v>
      </c>
      <c r="K26" s="8" t="s">
        <v>116</v>
      </c>
      <c r="L26" s="9" t="s">
        <v>24</v>
      </c>
    </row>
    <row r="27" customFormat="false" ht="15" hidden="false" customHeight="false" outlineLevel="0" collapsed="false">
      <c r="A27" s="4" t="s">
        <v>117</v>
      </c>
      <c r="B27" s="5" t="s">
        <v>118</v>
      </c>
      <c r="C27" s="4" t="n">
        <v>25</v>
      </c>
      <c r="D27" s="5" t="s">
        <v>43</v>
      </c>
      <c r="E27" s="5" t="s">
        <v>119</v>
      </c>
      <c r="F27" s="6" t="n">
        <v>571564.81</v>
      </c>
      <c r="G27" s="4" t="n">
        <v>749</v>
      </c>
      <c r="H27" s="6" t="n">
        <v>71410.54</v>
      </c>
      <c r="I27" s="7" t="n">
        <v>3464169</v>
      </c>
      <c r="J27" s="4" t="s">
        <v>49</v>
      </c>
      <c r="K27" s="4" t="s">
        <v>120</v>
      </c>
      <c r="L27" s="5" t="s">
        <v>24</v>
      </c>
    </row>
    <row r="28" customFormat="false" ht="15" hidden="false" customHeight="false" outlineLevel="0" collapsed="false">
      <c r="A28" s="8" t="s">
        <v>121</v>
      </c>
      <c r="B28" s="9" t="s">
        <v>122</v>
      </c>
      <c r="C28" s="8" t="n">
        <v>35</v>
      </c>
      <c r="D28" s="9" t="s">
        <v>123</v>
      </c>
      <c r="E28" s="9" t="s">
        <v>124</v>
      </c>
      <c r="F28" s="10" t="n">
        <v>870874.53</v>
      </c>
      <c r="G28" s="8" t="n">
        <v>827</v>
      </c>
      <c r="H28" s="10" t="n">
        <v>35667.58</v>
      </c>
      <c r="I28" s="11" t="n">
        <v>2588965</v>
      </c>
      <c r="J28" s="8" t="s">
        <v>49</v>
      </c>
      <c r="K28" s="8" t="s">
        <v>125</v>
      </c>
      <c r="L28" s="9" t="s">
        <v>24</v>
      </c>
    </row>
    <row r="29" customFormat="false" ht="15" hidden="false" customHeight="false" outlineLevel="0" collapsed="false">
      <c r="A29" s="4" t="s">
        <v>126</v>
      </c>
      <c r="B29" s="5" t="s">
        <v>127</v>
      </c>
      <c r="C29" s="4" t="n">
        <v>25</v>
      </c>
      <c r="D29" s="5" t="s">
        <v>27</v>
      </c>
      <c r="E29" s="5" t="s">
        <v>128</v>
      </c>
      <c r="F29" s="6" t="n">
        <v>124766.64</v>
      </c>
      <c r="G29" s="4" t="n">
        <v>645</v>
      </c>
      <c r="H29" s="6" t="n">
        <v>36991.23</v>
      </c>
      <c r="I29" s="7" t="n">
        <v>1420641</v>
      </c>
      <c r="J29" s="4" t="s">
        <v>83</v>
      </c>
      <c r="K29" s="4" t="s">
        <v>129</v>
      </c>
      <c r="L29" s="5" t="s">
        <v>56</v>
      </c>
    </row>
    <row r="30" customFormat="false" ht="15" hidden="false" customHeight="false" outlineLevel="0" collapsed="false">
      <c r="A30" s="8" t="s">
        <v>130</v>
      </c>
      <c r="B30" s="9" t="s">
        <v>131</v>
      </c>
      <c r="C30" s="8" t="n">
        <v>58</v>
      </c>
      <c r="D30" s="9" t="s">
        <v>43</v>
      </c>
      <c r="E30" s="9" t="s">
        <v>132</v>
      </c>
      <c r="F30" s="10" t="n">
        <v>870483.99</v>
      </c>
      <c r="G30" s="8" t="n">
        <v>570</v>
      </c>
      <c r="H30" s="10" t="n">
        <v>133391.76</v>
      </c>
      <c r="I30" s="11" t="n">
        <v>0</v>
      </c>
      <c r="J30" s="8" t="s">
        <v>17</v>
      </c>
      <c r="K30" s="8" t="s">
        <v>133</v>
      </c>
      <c r="L30" s="9" t="s">
        <v>51</v>
      </c>
    </row>
    <row r="31" customFormat="false" ht="15" hidden="false" customHeight="false" outlineLevel="0" collapsed="false">
      <c r="A31" s="4" t="s">
        <v>134</v>
      </c>
      <c r="B31" s="5" t="s">
        <v>135</v>
      </c>
      <c r="C31" s="4" t="n">
        <v>37</v>
      </c>
      <c r="D31" s="5" t="s">
        <v>64</v>
      </c>
      <c r="E31" s="5" t="s">
        <v>136</v>
      </c>
      <c r="F31" s="6" t="n">
        <v>596699.84</v>
      </c>
      <c r="G31" s="4" t="n">
        <v>703</v>
      </c>
      <c r="H31" s="6" t="n">
        <v>105014.3</v>
      </c>
      <c r="I31" s="7" t="n">
        <v>2735565</v>
      </c>
      <c r="J31" s="4" t="s">
        <v>49</v>
      </c>
      <c r="K31" s="4" t="s">
        <v>137</v>
      </c>
      <c r="L31" s="5" t="s">
        <v>40</v>
      </c>
    </row>
    <row r="32" customFormat="false" ht="15" hidden="false" customHeight="false" outlineLevel="0" collapsed="false">
      <c r="A32" s="8" t="s">
        <v>138</v>
      </c>
      <c r="B32" s="9" t="s">
        <v>139</v>
      </c>
      <c r="C32" s="8" t="n">
        <v>54</v>
      </c>
      <c r="D32" s="9" t="s">
        <v>15</v>
      </c>
      <c r="E32" s="9" t="s">
        <v>140</v>
      </c>
      <c r="F32" s="10" t="n">
        <v>203022.57</v>
      </c>
      <c r="G32" s="8" t="n">
        <v>728</v>
      </c>
      <c r="H32" s="10" t="n">
        <v>179151.23</v>
      </c>
      <c r="I32" s="11" t="n">
        <v>1888067</v>
      </c>
      <c r="J32" s="8" t="s">
        <v>83</v>
      </c>
      <c r="K32" s="8" t="s">
        <v>141</v>
      </c>
      <c r="L32" s="9" t="s">
        <v>75</v>
      </c>
    </row>
    <row r="33" customFormat="false" ht="15" hidden="false" customHeight="false" outlineLevel="0" collapsed="false">
      <c r="A33" s="4" t="s">
        <v>142</v>
      </c>
      <c r="B33" s="5" t="s">
        <v>143</v>
      </c>
      <c r="C33" s="4" t="n">
        <v>61</v>
      </c>
      <c r="D33" s="5" t="s">
        <v>43</v>
      </c>
      <c r="E33" s="5" t="s">
        <v>144</v>
      </c>
      <c r="F33" s="6" t="n">
        <v>795766.34</v>
      </c>
      <c r="G33" s="4" t="n">
        <v>833</v>
      </c>
      <c r="H33" s="6" t="n">
        <v>77391.28</v>
      </c>
      <c r="I33" s="7" t="n">
        <v>2637697</v>
      </c>
      <c r="J33" s="4" t="s">
        <v>83</v>
      </c>
      <c r="K33" s="4" t="s">
        <v>145</v>
      </c>
      <c r="L33" s="5" t="s">
        <v>40</v>
      </c>
    </row>
    <row r="34" customFormat="false" ht="15" hidden="false" customHeight="false" outlineLevel="0" collapsed="false">
      <c r="A34" s="8" t="s">
        <v>146</v>
      </c>
      <c r="B34" s="9" t="s">
        <v>147</v>
      </c>
      <c r="C34" s="8" t="n">
        <v>39</v>
      </c>
      <c r="D34" s="9" t="s">
        <v>15</v>
      </c>
      <c r="E34" s="9" t="s">
        <v>148</v>
      </c>
      <c r="F34" s="10" t="n">
        <v>909220.59</v>
      </c>
      <c r="G34" s="8" t="n">
        <v>725</v>
      </c>
      <c r="H34" s="10" t="n">
        <v>60629.53</v>
      </c>
      <c r="I34" s="11" t="n">
        <v>1403991</v>
      </c>
      <c r="J34" s="8" t="s">
        <v>83</v>
      </c>
      <c r="K34" s="8" t="s">
        <v>149</v>
      </c>
      <c r="L34" s="9" t="s">
        <v>35</v>
      </c>
    </row>
    <row r="35" customFormat="false" ht="15" hidden="false" customHeight="true" outlineLevel="0" collapsed="false">
      <c r="A35" s="12" t="s">
        <v>150</v>
      </c>
      <c r="B35" s="12"/>
      <c r="C35" s="12"/>
      <c r="D35" s="12"/>
      <c r="E35" s="12"/>
      <c r="F35" s="13" t="n">
        <f aca="false">SUM(F3:F34)</f>
        <v>20071274.63</v>
      </c>
      <c r="G35" s="13" t="n">
        <f aca="false">AVERAGE(G3:G34)</f>
        <v>694.566666666667</v>
      </c>
      <c r="H35" s="13" t="n">
        <f aca="false">AVERAGE(H3:H34)</f>
        <v>119326.632333333</v>
      </c>
      <c r="I35" s="13" t="n">
        <f aca="false">SUM(I3:I34)</f>
        <v>59785505</v>
      </c>
      <c r="J35" s="3"/>
      <c r="K35" s="3"/>
      <c r="L35" s="3"/>
    </row>
  </sheetData>
  <mergeCells count="2">
    <mergeCell ref="A1:L1"/>
    <mergeCell ref="A35:E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0"/>
    <col collapsed="false" customWidth="true" hidden="false" outlineLevel="0" max="3" min="3" style="0" width="26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7" min="6" style="0" width="14"/>
    <col collapsed="false" customWidth="true" hidden="false" outlineLevel="0" max="9" min="8" style="0" width="12"/>
    <col collapsed="false" customWidth="true" hidden="false" outlineLevel="0" max="10" min="10" style="0" width="14"/>
    <col collapsed="false" customWidth="true" hidden="false" outlineLevel="0" max="12" min="11" style="0" width="12"/>
    <col collapsed="false" customWidth="true" hidden="false" outlineLevel="0" max="13" min="13" style="0" width="14"/>
  </cols>
  <sheetData>
    <row r="1" customFormat="false" ht="36" hidden="false" customHeight="true" outlineLevel="0" collapsed="false">
      <c r="A1" s="14" t="s">
        <v>151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customFormat="false" ht="19.5" hidden="false" customHeight="true" outlineLevel="0" collapsed="false">
      <c r="A2" s="15" t="s">
        <v>152</v>
      </c>
      <c r="B2" s="15" t="s">
        <v>153</v>
      </c>
      <c r="C2" s="15" t="s">
        <v>154</v>
      </c>
      <c r="D2" s="15" t="s">
        <v>155</v>
      </c>
      <c r="E2" s="15" t="s">
        <v>156</v>
      </c>
      <c r="F2" s="15" t="s">
        <v>157</v>
      </c>
      <c r="G2" s="15" t="s">
        <v>158</v>
      </c>
      <c r="H2" s="15" t="s">
        <v>159</v>
      </c>
      <c r="I2" s="15" t="s">
        <v>160</v>
      </c>
      <c r="J2" s="15" t="s">
        <v>161</v>
      </c>
      <c r="K2" s="15" t="s">
        <v>162</v>
      </c>
      <c r="L2" s="15" t="s">
        <v>163</v>
      </c>
      <c r="M2" s="15" t="s">
        <v>164</v>
      </c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customFormat="false" ht="15" hidden="false" customHeight="false" outlineLevel="0" collapsed="false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customFormat="false" ht="15" hidden="false" customHeight="false" outlineLevel="0" collapsed="false">
      <c r="A5" s="4" t="s">
        <v>165</v>
      </c>
      <c r="B5" s="5" t="s">
        <v>166</v>
      </c>
      <c r="C5" s="5" t="s">
        <v>167</v>
      </c>
      <c r="D5" s="5" t="s">
        <v>168</v>
      </c>
      <c r="E5" s="5" t="s">
        <v>169</v>
      </c>
      <c r="F5" s="4" t="s">
        <v>170</v>
      </c>
      <c r="G5" s="4" t="n">
        <v>51</v>
      </c>
      <c r="H5" s="4" t="n">
        <v>52</v>
      </c>
      <c r="I5" s="4" t="s">
        <v>171</v>
      </c>
      <c r="J5" s="4" t="n">
        <v>10</v>
      </c>
      <c r="K5" s="7" t="n">
        <v>3630</v>
      </c>
      <c r="L5" s="4" t="n">
        <v>4.9</v>
      </c>
      <c r="M5" s="5" t="s">
        <v>172</v>
      </c>
    </row>
    <row r="6" customFormat="false" ht="15" hidden="false" customHeight="false" outlineLevel="0" collapsed="false">
      <c r="A6" s="8" t="s">
        <v>173</v>
      </c>
      <c r="B6" s="9" t="s">
        <v>174</v>
      </c>
      <c r="C6" s="9" t="s">
        <v>175</v>
      </c>
      <c r="D6" s="9" t="s">
        <v>176</v>
      </c>
      <c r="E6" s="9" t="s">
        <v>177</v>
      </c>
      <c r="F6" s="8" t="s">
        <v>178</v>
      </c>
      <c r="G6" s="8" t="n">
        <v>40</v>
      </c>
      <c r="H6" s="8" t="n">
        <v>49</v>
      </c>
      <c r="I6" s="8" t="s">
        <v>171</v>
      </c>
      <c r="J6" s="8" t="n">
        <v>50</v>
      </c>
      <c r="K6" s="11" t="n">
        <v>1021</v>
      </c>
      <c r="L6" s="8" t="n">
        <v>3.6</v>
      </c>
      <c r="M6" s="9" t="s">
        <v>172</v>
      </c>
    </row>
    <row r="7" customFormat="false" ht="15" hidden="false" customHeight="false" outlineLevel="0" collapsed="false">
      <c r="A7" s="4" t="s">
        <v>179</v>
      </c>
      <c r="B7" s="5" t="s">
        <v>180</v>
      </c>
      <c r="C7" s="5" t="s">
        <v>181</v>
      </c>
      <c r="D7" s="5" t="s">
        <v>182</v>
      </c>
      <c r="E7" s="5" t="s">
        <v>183</v>
      </c>
      <c r="F7" s="4" t="s">
        <v>184</v>
      </c>
      <c r="G7" s="4" t="n">
        <v>32</v>
      </c>
      <c r="H7" s="4" t="n">
        <v>90</v>
      </c>
      <c r="I7" s="4" t="s">
        <v>171</v>
      </c>
      <c r="J7" s="4" t="n">
        <v>40</v>
      </c>
      <c r="K7" s="7" t="n">
        <v>2645</v>
      </c>
      <c r="L7" s="4" t="n">
        <v>3.6</v>
      </c>
      <c r="M7" s="5" t="s">
        <v>172</v>
      </c>
    </row>
    <row r="8" customFormat="false" ht="15" hidden="false" customHeight="false" outlineLevel="0" collapsed="false">
      <c r="A8" s="8" t="s">
        <v>185</v>
      </c>
      <c r="B8" s="9" t="s">
        <v>186</v>
      </c>
      <c r="C8" s="9" t="s">
        <v>187</v>
      </c>
      <c r="D8" s="9" t="s">
        <v>182</v>
      </c>
      <c r="E8" s="9" t="s">
        <v>188</v>
      </c>
      <c r="F8" s="8" t="s">
        <v>189</v>
      </c>
      <c r="G8" s="8" t="n">
        <v>80</v>
      </c>
      <c r="H8" s="8" t="n">
        <v>89</v>
      </c>
      <c r="I8" s="8" t="s">
        <v>171</v>
      </c>
      <c r="J8" s="8" t="n">
        <v>20</v>
      </c>
      <c r="K8" s="11" t="n">
        <v>3029</v>
      </c>
      <c r="L8" s="8" t="n">
        <v>3.1</v>
      </c>
      <c r="M8" s="9" t="s">
        <v>172</v>
      </c>
    </row>
    <row r="9" customFormat="false" ht="15" hidden="false" customHeight="false" outlineLevel="0" collapsed="false">
      <c r="A9" s="4" t="s">
        <v>190</v>
      </c>
      <c r="B9" s="5" t="s">
        <v>191</v>
      </c>
      <c r="C9" s="5" t="s">
        <v>192</v>
      </c>
      <c r="D9" s="5" t="s">
        <v>193</v>
      </c>
      <c r="E9" s="5" t="s">
        <v>42</v>
      </c>
      <c r="F9" s="4" t="s">
        <v>194</v>
      </c>
      <c r="G9" s="4" t="n">
        <v>99</v>
      </c>
      <c r="H9" s="4" t="n">
        <v>75</v>
      </c>
      <c r="I9" s="4" t="s">
        <v>171</v>
      </c>
      <c r="J9" s="4" t="n">
        <v>50</v>
      </c>
      <c r="K9" s="7" t="n">
        <v>1686</v>
      </c>
      <c r="L9" s="4" t="n">
        <v>4.7</v>
      </c>
      <c r="M9" s="5" t="s">
        <v>172</v>
      </c>
    </row>
    <row r="10" customFormat="false" ht="15" hidden="false" customHeight="false" outlineLevel="0" collapsed="false">
      <c r="A10" s="8" t="s">
        <v>195</v>
      </c>
      <c r="B10" s="9" t="s">
        <v>196</v>
      </c>
      <c r="C10" s="9" t="s">
        <v>192</v>
      </c>
      <c r="D10" s="9" t="s">
        <v>193</v>
      </c>
      <c r="E10" s="9" t="s">
        <v>42</v>
      </c>
      <c r="F10" s="8" t="s">
        <v>197</v>
      </c>
      <c r="G10" s="8" t="n">
        <v>52</v>
      </c>
      <c r="H10" s="8" t="n">
        <v>94</v>
      </c>
      <c r="I10" s="8" t="s">
        <v>171</v>
      </c>
      <c r="J10" s="8" t="n">
        <v>40</v>
      </c>
      <c r="K10" s="11" t="n">
        <v>8445</v>
      </c>
      <c r="L10" s="8" t="n">
        <v>4.8</v>
      </c>
      <c r="M10" s="9" t="s">
        <v>172</v>
      </c>
    </row>
    <row r="11" customFormat="false" ht="15" hidden="false" customHeight="false" outlineLevel="0" collapsed="false">
      <c r="A11" s="4" t="s">
        <v>198</v>
      </c>
      <c r="B11" s="5" t="s">
        <v>199</v>
      </c>
      <c r="C11" s="5" t="s">
        <v>200</v>
      </c>
      <c r="D11" s="5" t="s">
        <v>201</v>
      </c>
      <c r="E11" s="5" t="s">
        <v>106</v>
      </c>
      <c r="F11" s="4" t="s">
        <v>202</v>
      </c>
      <c r="G11" s="4" t="n">
        <v>23</v>
      </c>
      <c r="H11" s="4" t="n">
        <v>17</v>
      </c>
      <c r="I11" s="4" t="s">
        <v>171</v>
      </c>
      <c r="J11" s="4" t="n">
        <v>50</v>
      </c>
      <c r="K11" s="7" t="n">
        <v>9776</v>
      </c>
      <c r="L11" s="4" t="n">
        <v>3.7</v>
      </c>
      <c r="M11" s="5" t="s">
        <v>172</v>
      </c>
    </row>
    <row r="12" customFormat="false" ht="15" hidden="false" customHeight="false" outlineLevel="0" collapsed="false">
      <c r="A12" s="8" t="s">
        <v>203</v>
      </c>
      <c r="B12" s="9" t="s">
        <v>204</v>
      </c>
      <c r="C12" s="9" t="s">
        <v>200</v>
      </c>
      <c r="D12" s="9" t="s">
        <v>201</v>
      </c>
      <c r="E12" s="9" t="s">
        <v>106</v>
      </c>
      <c r="F12" s="8" t="s">
        <v>205</v>
      </c>
      <c r="G12" s="8" t="n">
        <v>17</v>
      </c>
      <c r="H12" s="8" t="n">
        <v>49</v>
      </c>
      <c r="I12" s="8" t="s">
        <v>171</v>
      </c>
      <c r="J12" s="8" t="n">
        <v>50</v>
      </c>
      <c r="K12" s="11" t="n">
        <v>3229</v>
      </c>
      <c r="L12" s="8" t="n">
        <v>4.1</v>
      </c>
      <c r="M12" s="9" t="s">
        <v>172</v>
      </c>
    </row>
    <row r="13" customFormat="false" ht="15" hidden="false" customHeight="false" outlineLevel="0" collapsed="false">
      <c r="A13" s="4" t="s">
        <v>206</v>
      </c>
      <c r="B13" s="5" t="s">
        <v>207</v>
      </c>
      <c r="C13" s="5" t="s">
        <v>208</v>
      </c>
      <c r="D13" s="5" t="s">
        <v>209</v>
      </c>
      <c r="E13" s="5" t="s">
        <v>210</v>
      </c>
      <c r="F13" s="4" t="s">
        <v>211</v>
      </c>
      <c r="G13" s="4" t="n">
        <v>27</v>
      </c>
      <c r="H13" s="4" t="n">
        <v>49</v>
      </c>
      <c r="I13" s="4" t="s">
        <v>171</v>
      </c>
      <c r="J13" s="4" t="n">
        <v>10</v>
      </c>
      <c r="K13" s="7" t="n">
        <v>5461</v>
      </c>
      <c r="L13" s="4" t="n">
        <v>3.1</v>
      </c>
      <c r="M13" s="5" t="s">
        <v>172</v>
      </c>
    </row>
    <row r="14" customFormat="false" ht="15" hidden="false" customHeight="false" outlineLevel="0" collapsed="false">
      <c r="A14" s="8" t="s">
        <v>212</v>
      </c>
      <c r="B14" s="9" t="s">
        <v>213</v>
      </c>
      <c r="C14" s="9" t="s">
        <v>214</v>
      </c>
      <c r="D14" s="9" t="s">
        <v>215</v>
      </c>
      <c r="E14" s="9" t="s">
        <v>216</v>
      </c>
      <c r="F14" s="8" t="s">
        <v>217</v>
      </c>
      <c r="G14" s="8" t="n">
        <v>65</v>
      </c>
      <c r="H14" s="8" t="n">
        <v>47</v>
      </c>
      <c r="I14" s="8" t="s">
        <v>171</v>
      </c>
      <c r="J14" s="8" t="n">
        <v>60</v>
      </c>
      <c r="K14" s="11" t="n">
        <v>5399</v>
      </c>
      <c r="L14" s="8" t="n">
        <v>4.3</v>
      </c>
      <c r="M14" s="9" t="s">
        <v>172</v>
      </c>
    </row>
    <row r="15" customFormat="false" ht="15" hidden="false" customHeight="false" outlineLevel="0" collapsed="false">
      <c r="A15" s="4" t="s">
        <v>218</v>
      </c>
      <c r="B15" s="5" t="s">
        <v>219</v>
      </c>
      <c r="C15" s="5" t="s">
        <v>187</v>
      </c>
      <c r="D15" s="5" t="s">
        <v>182</v>
      </c>
      <c r="E15" s="5" t="s">
        <v>188</v>
      </c>
      <c r="F15" s="4" t="s">
        <v>220</v>
      </c>
      <c r="G15" s="4" t="n">
        <v>28</v>
      </c>
      <c r="H15" s="4" t="n">
        <v>19</v>
      </c>
      <c r="I15" s="4" t="s">
        <v>171</v>
      </c>
      <c r="J15" s="4" t="n">
        <v>40</v>
      </c>
      <c r="K15" s="7" t="n">
        <v>9236</v>
      </c>
      <c r="L15" s="4" t="n">
        <v>4.8</v>
      </c>
      <c r="M15" s="5" t="s">
        <v>172</v>
      </c>
    </row>
    <row r="16" customFormat="false" ht="15" hidden="false" customHeight="false" outlineLevel="0" collapsed="false">
      <c r="A16" s="8" t="s">
        <v>221</v>
      </c>
      <c r="B16" s="9" t="s">
        <v>222</v>
      </c>
      <c r="C16" s="9" t="s">
        <v>208</v>
      </c>
      <c r="D16" s="9" t="s">
        <v>209</v>
      </c>
      <c r="E16" s="9" t="s">
        <v>210</v>
      </c>
      <c r="F16" s="8" t="s">
        <v>223</v>
      </c>
      <c r="G16" s="8" t="n">
        <v>83</v>
      </c>
      <c r="H16" s="8" t="n">
        <v>40</v>
      </c>
      <c r="I16" s="8" t="s">
        <v>171</v>
      </c>
      <c r="J16" s="8" t="n">
        <v>10</v>
      </c>
      <c r="K16" s="11" t="n">
        <v>7308</v>
      </c>
      <c r="L16" s="8" t="n">
        <v>3.5</v>
      </c>
      <c r="M16" s="9" t="s">
        <v>172</v>
      </c>
    </row>
    <row r="17" customFormat="false" ht="15" hidden="false" customHeight="false" outlineLevel="0" collapsed="false">
      <c r="A17" s="4" t="s">
        <v>224</v>
      </c>
      <c r="B17" s="5" t="s">
        <v>225</v>
      </c>
      <c r="C17" s="5" t="s">
        <v>181</v>
      </c>
      <c r="D17" s="5" t="s">
        <v>182</v>
      </c>
      <c r="E17" s="5" t="s">
        <v>183</v>
      </c>
      <c r="F17" s="4" t="s">
        <v>226</v>
      </c>
      <c r="G17" s="4" t="n">
        <v>24</v>
      </c>
      <c r="H17" s="4" t="n">
        <v>24</v>
      </c>
      <c r="I17" s="4" t="s">
        <v>171</v>
      </c>
      <c r="J17" s="4" t="n">
        <v>20</v>
      </c>
      <c r="K17" s="7" t="n">
        <v>3153</v>
      </c>
      <c r="L17" s="4" t="n">
        <v>3.4</v>
      </c>
      <c r="M17" s="5" t="s">
        <v>172</v>
      </c>
    </row>
    <row r="18" customFormat="false" ht="15" hidden="false" customHeight="false" outlineLevel="0" collapsed="false">
      <c r="A18" s="8" t="s">
        <v>227</v>
      </c>
      <c r="B18" s="9" t="s">
        <v>228</v>
      </c>
      <c r="C18" s="9" t="s">
        <v>187</v>
      </c>
      <c r="D18" s="9" t="s">
        <v>182</v>
      </c>
      <c r="E18" s="9" t="s">
        <v>188</v>
      </c>
      <c r="F18" s="8" t="s">
        <v>229</v>
      </c>
      <c r="G18" s="8" t="n">
        <v>30</v>
      </c>
      <c r="H18" s="8" t="n">
        <v>10</v>
      </c>
      <c r="I18" s="8" t="s">
        <v>171</v>
      </c>
      <c r="J18" s="8" t="n">
        <v>20</v>
      </c>
      <c r="K18" s="11" t="n">
        <v>7033</v>
      </c>
      <c r="L18" s="8" t="n">
        <v>4.5</v>
      </c>
      <c r="M18" s="9" t="s">
        <v>172</v>
      </c>
    </row>
    <row r="19" customFormat="false" ht="15" hidden="false" customHeight="false" outlineLevel="0" collapsed="false">
      <c r="A19" s="4" t="s">
        <v>230</v>
      </c>
      <c r="B19" s="5" t="s">
        <v>231</v>
      </c>
      <c r="C19" s="5" t="s">
        <v>175</v>
      </c>
      <c r="D19" s="5" t="s">
        <v>176</v>
      </c>
      <c r="E19" s="5" t="s">
        <v>177</v>
      </c>
      <c r="F19" s="4" t="s">
        <v>232</v>
      </c>
      <c r="G19" s="4" t="n">
        <v>86</v>
      </c>
      <c r="H19" s="4" t="n">
        <v>66</v>
      </c>
      <c r="I19" s="4" t="s">
        <v>171</v>
      </c>
      <c r="J19" s="4" t="n">
        <v>50</v>
      </c>
      <c r="K19" s="7" t="n">
        <v>8552</v>
      </c>
      <c r="L19" s="4" t="n">
        <v>3.2</v>
      </c>
      <c r="M19" s="5" t="s">
        <v>172</v>
      </c>
    </row>
    <row r="20" customFormat="false" ht="15" hidden="false" customHeight="false" outlineLevel="0" collapsed="false">
      <c r="A20" s="8" t="s">
        <v>233</v>
      </c>
      <c r="B20" s="9" t="s">
        <v>234</v>
      </c>
      <c r="C20" s="9" t="s">
        <v>175</v>
      </c>
      <c r="D20" s="9" t="s">
        <v>176</v>
      </c>
      <c r="E20" s="9" t="s">
        <v>177</v>
      </c>
      <c r="F20" s="8" t="s">
        <v>235</v>
      </c>
      <c r="G20" s="8" t="n">
        <v>63</v>
      </c>
      <c r="H20" s="8" t="n">
        <v>58</v>
      </c>
      <c r="I20" s="8" t="s">
        <v>171</v>
      </c>
      <c r="J20" s="8" t="n">
        <v>40</v>
      </c>
      <c r="K20" s="11" t="n">
        <v>8864</v>
      </c>
      <c r="L20" s="8" t="n">
        <v>3</v>
      </c>
      <c r="M20" s="9" t="s">
        <v>172</v>
      </c>
    </row>
    <row r="21" customFormat="false" ht="15" hidden="false" customHeight="false" outlineLevel="0" collapsed="false">
      <c r="A21" s="4" t="s">
        <v>236</v>
      </c>
      <c r="B21" s="5" t="s">
        <v>237</v>
      </c>
      <c r="C21" s="5" t="s">
        <v>181</v>
      </c>
      <c r="D21" s="5" t="s">
        <v>182</v>
      </c>
      <c r="E21" s="5" t="s">
        <v>183</v>
      </c>
      <c r="F21" s="4" t="s">
        <v>238</v>
      </c>
      <c r="G21" s="4" t="n">
        <v>19</v>
      </c>
      <c r="H21" s="4" t="n">
        <v>2</v>
      </c>
      <c r="I21" s="4" t="s">
        <v>171</v>
      </c>
      <c r="J21" s="4" t="n">
        <v>10</v>
      </c>
      <c r="K21" s="7" t="n">
        <v>1808</v>
      </c>
      <c r="L21" s="4" t="n">
        <v>4.8</v>
      </c>
      <c r="M21" s="5" t="s">
        <v>172</v>
      </c>
    </row>
    <row r="22" customFormat="false" ht="15" hidden="false" customHeight="false" outlineLevel="0" collapsed="false">
      <c r="A22" s="8" t="s">
        <v>239</v>
      </c>
      <c r="B22" s="9" t="s">
        <v>240</v>
      </c>
      <c r="C22" s="9" t="s">
        <v>200</v>
      </c>
      <c r="D22" s="9" t="s">
        <v>201</v>
      </c>
      <c r="E22" s="9" t="s">
        <v>106</v>
      </c>
      <c r="F22" s="8" t="s">
        <v>241</v>
      </c>
      <c r="G22" s="8" t="n">
        <v>36</v>
      </c>
      <c r="H22" s="8" t="n">
        <v>83</v>
      </c>
      <c r="I22" s="8" t="s">
        <v>171</v>
      </c>
      <c r="J22" s="8" t="n">
        <v>10</v>
      </c>
      <c r="K22" s="11" t="n">
        <v>9561</v>
      </c>
      <c r="L22" s="8" t="n">
        <v>3.8</v>
      </c>
      <c r="M22" s="9" t="s">
        <v>172</v>
      </c>
    </row>
    <row r="23" customFormat="false" ht="15" hidden="false" customHeight="false" outlineLevel="0" collapsed="false">
      <c r="A23" s="4" t="s">
        <v>242</v>
      </c>
      <c r="B23" s="5" t="s">
        <v>243</v>
      </c>
      <c r="C23" s="5" t="s">
        <v>181</v>
      </c>
      <c r="D23" s="5" t="s">
        <v>182</v>
      </c>
      <c r="E23" s="5" t="s">
        <v>183</v>
      </c>
      <c r="F23" s="4" t="s">
        <v>244</v>
      </c>
      <c r="G23" s="4" t="n">
        <v>72</v>
      </c>
      <c r="H23" s="4" t="n">
        <v>74</v>
      </c>
      <c r="I23" s="4" t="s">
        <v>171</v>
      </c>
      <c r="J23" s="4" t="n">
        <v>60</v>
      </c>
      <c r="K23" s="7" t="n">
        <v>4852</v>
      </c>
      <c r="L23" s="4" t="n">
        <v>3.5</v>
      </c>
      <c r="M23" s="5" t="s">
        <v>172</v>
      </c>
    </row>
    <row r="24" customFormat="false" ht="15" hidden="false" customHeight="false" outlineLevel="0" collapsed="false">
      <c r="A24" s="8" t="s">
        <v>245</v>
      </c>
      <c r="B24" s="9" t="s">
        <v>246</v>
      </c>
      <c r="C24" s="9" t="s">
        <v>187</v>
      </c>
      <c r="D24" s="9" t="s">
        <v>182</v>
      </c>
      <c r="E24" s="9" t="s">
        <v>188</v>
      </c>
      <c r="F24" s="8" t="s">
        <v>247</v>
      </c>
      <c r="G24" s="8" t="n">
        <v>77</v>
      </c>
      <c r="H24" s="8" t="n">
        <v>60</v>
      </c>
      <c r="I24" s="8" t="s">
        <v>171</v>
      </c>
      <c r="J24" s="8" t="n">
        <v>30</v>
      </c>
      <c r="K24" s="11" t="n">
        <v>9730</v>
      </c>
      <c r="L24" s="8" t="n">
        <v>4.5</v>
      </c>
      <c r="M24" s="9" t="s">
        <v>172</v>
      </c>
    </row>
    <row r="25" customFormat="false" ht="15" hidden="false" customHeight="false" outlineLevel="0" collapsed="false">
      <c r="A25" s="4" t="s">
        <v>248</v>
      </c>
      <c r="B25" s="5" t="s">
        <v>249</v>
      </c>
      <c r="C25" s="5" t="s">
        <v>181</v>
      </c>
      <c r="D25" s="5" t="s">
        <v>182</v>
      </c>
      <c r="E25" s="5" t="s">
        <v>183</v>
      </c>
      <c r="F25" s="4" t="s">
        <v>250</v>
      </c>
      <c r="G25" s="4" t="n">
        <v>93</v>
      </c>
      <c r="H25" s="4" t="n">
        <v>73</v>
      </c>
      <c r="I25" s="4" t="s">
        <v>171</v>
      </c>
      <c r="J25" s="4" t="n">
        <v>40</v>
      </c>
      <c r="K25" s="7" t="n">
        <v>9722</v>
      </c>
      <c r="L25" s="4" t="n">
        <v>3.5</v>
      </c>
      <c r="M25" s="5" t="s">
        <v>172</v>
      </c>
    </row>
    <row r="26" customFormat="false" ht="15" hidden="false" customHeight="false" outlineLevel="0" collapsed="false">
      <c r="A26" s="8" t="s">
        <v>251</v>
      </c>
      <c r="B26" s="9" t="s">
        <v>252</v>
      </c>
      <c r="C26" s="9" t="s">
        <v>200</v>
      </c>
      <c r="D26" s="9" t="s">
        <v>201</v>
      </c>
      <c r="E26" s="9" t="s">
        <v>106</v>
      </c>
      <c r="F26" s="8" t="s">
        <v>253</v>
      </c>
      <c r="G26" s="8" t="n">
        <v>100</v>
      </c>
      <c r="H26" s="8" t="n">
        <v>82</v>
      </c>
      <c r="I26" s="8" t="s">
        <v>254</v>
      </c>
      <c r="J26" s="8" t="n">
        <v>60</v>
      </c>
      <c r="K26" s="11" t="n">
        <v>1927</v>
      </c>
      <c r="L26" s="8" t="n">
        <v>3.3</v>
      </c>
      <c r="M26" s="9" t="s">
        <v>255</v>
      </c>
    </row>
    <row r="27" customFormat="false" ht="15" hidden="false" customHeight="false" outlineLevel="0" collapsed="false">
      <c r="A27" s="4" t="s">
        <v>256</v>
      </c>
      <c r="B27" s="5" t="s">
        <v>257</v>
      </c>
      <c r="C27" s="5" t="s">
        <v>258</v>
      </c>
      <c r="D27" s="5" t="s">
        <v>215</v>
      </c>
      <c r="E27" s="5" t="s">
        <v>259</v>
      </c>
      <c r="F27" s="4" t="s">
        <v>260</v>
      </c>
      <c r="G27" s="4" t="n">
        <v>37</v>
      </c>
      <c r="H27" s="4" t="n">
        <v>98</v>
      </c>
      <c r="I27" s="4" t="s">
        <v>171</v>
      </c>
      <c r="J27" s="4" t="n">
        <v>50</v>
      </c>
      <c r="K27" s="7" t="n">
        <v>7093</v>
      </c>
      <c r="L27" s="4" t="n">
        <v>3.1</v>
      </c>
      <c r="M27" s="5" t="s">
        <v>172</v>
      </c>
    </row>
    <row r="28" customFormat="false" ht="15" hidden="false" customHeight="false" outlineLevel="0" collapsed="false">
      <c r="A28" s="8" t="s">
        <v>261</v>
      </c>
      <c r="B28" s="9" t="s">
        <v>262</v>
      </c>
      <c r="C28" s="9" t="s">
        <v>258</v>
      </c>
      <c r="D28" s="9" t="s">
        <v>215</v>
      </c>
      <c r="E28" s="9" t="s">
        <v>259</v>
      </c>
      <c r="F28" s="8" t="s">
        <v>263</v>
      </c>
      <c r="G28" s="8" t="n">
        <v>85</v>
      </c>
      <c r="H28" s="8" t="n">
        <v>47</v>
      </c>
      <c r="I28" s="8" t="s">
        <v>171</v>
      </c>
      <c r="J28" s="8" t="n">
        <v>20</v>
      </c>
      <c r="K28" s="11" t="n">
        <v>3437</v>
      </c>
      <c r="L28" s="8" t="n">
        <v>3.3</v>
      </c>
      <c r="M28" s="9" t="s">
        <v>172</v>
      </c>
    </row>
    <row r="29" customFormat="false" ht="15" hidden="false" customHeight="false" outlineLevel="0" collapsed="false">
      <c r="A29" s="4" t="s">
        <v>264</v>
      </c>
      <c r="B29" s="5" t="s">
        <v>265</v>
      </c>
      <c r="C29" s="5" t="s">
        <v>214</v>
      </c>
      <c r="D29" s="5" t="s">
        <v>215</v>
      </c>
      <c r="E29" s="5" t="s">
        <v>216</v>
      </c>
      <c r="F29" s="4" t="s">
        <v>266</v>
      </c>
      <c r="G29" s="4" t="n">
        <v>17</v>
      </c>
      <c r="H29" s="4" t="n">
        <v>43</v>
      </c>
      <c r="I29" s="4" t="s">
        <v>171</v>
      </c>
      <c r="J29" s="4" t="n">
        <v>50</v>
      </c>
      <c r="K29" s="7" t="n">
        <v>9595</v>
      </c>
      <c r="L29" s="4" t="n">
        <v>3.2</v>
      </c>
      <c r="M29" s="5" t="s">
        <v>172</v>
      </c>
    </row>
    <row r="30" customFormat="false" ht="15" hidden="false" customHeight="false" outlineLevel="0" collapsed="false">
      <c r="A30" s="8" t="s">
        <v>267</v>
      </c>
      <c r="B30" s="9" t="s">
        <v>268</v>
      </c>
      <c r="C30" s="9" t="s">
        <v>167</v>
      </c>
      <c r="D30" s="9" t="s">
        <v>168</v>
      </c>
      <c r="E30" s="9" t="s">
        <v>169</v>
      </c>
      <c r="F30" s="8" t="s">
        <v>269</v>
      </c>
      <c r="G30" s="8" t="n">
        <v>20</v>
      </c>
      <c r="H30" s="8" t="n">
        <v>23</v>
      </c>
      <c r="I30" s="8" t="s">
        <v>171</v>
      </c>
      <c r="J30" s="8" t="n">
        <v>60</v>
      </c>
      <c r="K30" s="11" t="n">
        <v>8639</v>
      </c>
      <c r="L30" s="8" t="n">
        <v>3.1</v>
      </c>
      <c r="M30" s="9" t="s">
        <v>172</v>
      </c>
    </row>
    <row r="31" customFormat="false" ht="15" hidden="false" customHeight="false" outlineLevel="0" collapsed="false">
      <c r="A31" s="4" t="s">
        <v>270</v>
      </c>
      <c r="B31" s="5" t="s">
        <v>271</v>
      </c>
      <c r="C31" s="5" t="s">
        <v>272</v>
      </c>
      <c r="D31" s="5" t="s">
        <v>209</v>
      </c>
      <c r="E31" s="5" t="s">
        <v>26</v>
      </c>
      <c r="F31" s="4" t="s">
        <v>273</v>
      </c>
      <c r="G31" s="4" t="n">
        <v>73</v>
      </c>
      <c r="H31" s="4" t="n">
        <v>65</v>
      </c>
      <c r="I31" s="4" t="s">
        <v>171</v>
      </c>
      <c r="J31" s="4" t="n">
        <v>10</v>
      </c>
      <c r="K31" s="7" t="n">
        <v>1985</v>
      </c>
      <c r="L31" s="4" t="n">
        <v>3.8</v>
      </c>
      <c r="M31" s="5" t="s">
        <v>172</v>
      </c>
    </row>
    <row r="32" customFormat="false" ht="15" hidden="false" customHeight="false" outlineLevel="0" collapsed="false">
      <c r="A32" s="8" t="s">
        <v>274</v>
      </c>
      <c r="B32" s="9" t="s">
        <v>275</v>
      </c>
      <c r="C32" s="9" t="s">
        <v>272</v>
      </c>
      <c r="D32" s="9" t="s">
        <v>209</v>
      </c>
      <c r="E32" s="9" t="s">
        <v>26</v>
      </c>
      <c r="F32" s="8" t="s">
        <v>276</v>
      </c>
      <c r="G32" s="8" t="n">
        <v>14</v>
      </c>
      <c r="H32" s="8" t="n">
        <v>50</v>
      </c>
      <c r="I32" s="8" t="s">
        <v>171</v>
      </c>
      <c r="J32" s="8" t="n">
        <v>50</v>
      </c>
      <c r="K32" s="11" t="n">
        <v>9429</v>
      </c>
      <c r="L32" s="8" t="n">
        <v>4.3</v>
      </c>
      <c r="M32" s="9" t="s">
        <v>172</v>
      </c>
    </row>
    <row r="33" customFormat="false" ht="15" hidden="false" customHeight="false" outlineLevel="0" collapsed="false">
      <c r="A33" s="4" t="s">
        <v>277</v>
      </c>
      <c r="B33" s="5" t="s">
        <v>278</v>
      </c>
      <c r="C33" s="5" t="s">
        <v>272</v>
      </c>
      <c r="D33" s="5" t="s">
        <v>209</v>
      </c>
      <c r="E33" s="5" t="s">
        <v>26</v>
      </c>
      <c r="F33" s="4" t="s">
        <v>279</v>
      </c>
      <c r="G33" s="4" t="n">
        <v>79</v>
      </c>
      <c r="H33" s="4" t="n">
        <v>97</v>
      </c>
      <c r="I33" s="4" t="s">
        <v>171</v>
      </c>
      <c r="J33" s="4" t="n">
        <v>10</v>
      </c>
      <c r="K33" s="7" t="n">
        <v>5955</v>
      </c>
      <c r="L33" s="4" t="n">
        <v>5</v>
      </c>
      <c r="M33" s="5" t="s">
        <v>172</v>
      </c>
    </row>
    <row r="34" customFormat="false" ht="15" hidden="false" customHeight="false" outlineLevel="0" collapsed="false">
      <c r="A34" s="8" t="s">
        <v>280</v>
      </c>
      <c r="B34" s="9" t="s">
        <v>281</v>
      </c>
      <c r="C34" s="9" t="s">
        <v>208</v>
      </c>
      <c r="D34" s="9" t="s">
        <v>209</v>
      </c>
      <c r="E34" s="9" t="s">
        <v>210</v>
      </c>
      <c r="F34" s="8" t="s">
        <v>282</v>
      </c>
      <c r="G34" s="8" t="n">
        <v>75</v>
      </c>
      <c r="H34" s="8" t="n">
        <v>85</v>
      </c>
      <c r="I34" s="8" t="s">
        <v>171</v>
      </c>
      <c r="J34" s="8" t="n">
        <v>40</v>
      </c>
      <c r="K34" s="11" t="n">
        <v>2835</v>
      </c>
      <c r="L34" s="8" t="n">
        <v>4.1</v>
      </c>
      <c r="M34" s="9" t="s">
        <v>172</v>
      </c>
    </row>
    <row r="35" customFormat="false" ht="15" hidden="false" customHeight="true" outlineLevel="0" collapsed="false">
      <c r="A35" s="16" t="s">
        <v>150</v>
      </c>
      <c r="B35" s="16"/>
      <c r="C35" s="16"/>
      <c r="D35" s="16"/>
      <c r="E35" s="16"/>
      <c r="F35" s="16"/>
      <c r="G35" s="17" t="n">
        <f aca="false">AVERAGE(G3:G34)</f>
        <v>53.2333333333333</v>
      </c>
      <c r="H35" s="17" t="n">
        <f aca="false">AVERAGE(H3:H34)</f>
        <v>57</v>
      </c>
      <c r="I35" s="3"/>
      <c r="J35" s="17" t="n">
        <f aca="false">AVERAGE(J3:J34)</f>
        <v>35.3333333333333</v>
      </c>
      <c r="K35" s="17" t="n">
        <f aca="false">SUM(K3:K34)</f>
        <v>175035</v>
      </c>
      <c r="L35" s="17" t="n">
        <f aca="false">AVERAGE(L3:L34)</f>
        <v>3.85333333333333</v>
      </c>
      <c r="M35" s="3"/>
    </row>
  </sheetData>
  <mergeCells count="2">
    <mergeCell ref="A1:M1"/>
    <mergeCell ref="A35:F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6"/>
    <col collapsed="false" customWidth="true" hidden="false" outlineLevel="0" max="6" min="6" style="0" width="18"/>
    <col collapsed="false" customWidth="true" hidden="false" outlineLevel="0" max="7" min="7" style="0" width="13"/>
    <col collapsed="false" customWidth="true" hidden="false" outlineLevel="0" max="8" min="8" style="0" width="12"/>
    <col collapsed="false" customWidth="true" hidden="false" outlineLevel="0" max="9" min="9" style="0" width="16"/>
    <col collapsed="false" customWidth="true" hidden="false" outlineLevel="0" max="10" min="10" style="0" width="14"/>
    <col collapsed="false" customWidth="true" hidden="false" outlineLevel="0" max="13" min="11" style="0" width="12"/>
    <col collapsed="false" customWidth="true" hidden="false" outlineLevel="0" max="14" min="14" style="0" width="14"/>
  </cols>
  <sheetData>
    <row r="1" customFormat="false" ht="36" hidden="false" customHeight="true" outlineLevel="0" collapsed="false">
      <c r="A1" s="18" t="s">
        <v>283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</row>
    <row r="2" customFormat="false" ht="19.5" hidden="false" customHeight="true" outlineLevel="0" collapsed="false">
      <c r="A2" s="19" t="s">
        <v>284</v>
      </c>
      <c r="B2" s="19" t="s">
        <v>285</v>
      </c>
      <c r="C2" s="19" t="s">
        <v>286</v>
      </c>
      <c r="D2" s="19" t="s">
        <v>287</v>
      </c>
      <c r="E2" s="19" t="s">
        <v>288</v>
      </c>
      <c r="F2" s="19" t="s">
        <v>289</v>
      </c>
      <c r="G2" s="19" t="s">
        <v>290</v>
      </c>
      <c r="H2" s="19" t="s">
        <v>291</v>
      </c>
      <c r="I2" s="19" t="s">
        <v>292</v>
      </c>
      <c r="J2" s="19" t="s">
        <v>293</v>
      </c>
      <c r="K2" s="19" t="s">
        <v>162</v>
      </c>
      <c r="L2" s="19" t="s">
        <v>294</v>
      </c>
      <c r="M2" s="19" t="s">
        <v>295</v>
      </c>
      <c r="N2" s="19" t="s">
        <v>296</v>
      </c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customFormat="false" ht="15" hidden="false" customHeight="false" outlineLevel="0" collapsed="false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customFormat="false" ht="15" hidden="false" customHeight="false" outlineLevel="0" collapsed="false">
      <c r="A5" s="4" t="s">
        <v>297</v>
      </c>
      <c r="B5" s="5" t="s">
        <v>298</v>
      </c>
      <c r="C5" s="5" t="s">
        <v>299</v>
      </c>
      <c r="D5" s="5" t="s">
        <v>300</v>
      </c>
      <c r="E5" s="4" t="n">
        <v>2024</v>
      </c>
      <c r="F5" s="5" t="s">
        <v>301</v>
      </c>
      <c r="G5" s="4" t="n">
        <v>100</v>
      </c>
      <c r="H5" s="4" t="n">
        <v>652</v>
      </c>
      <c r="I5" s="4" t="n">
        <v>250</v>
      </c>
      <c r="J5" s="4" t="n">
        <v>0.5</v>
      </c>
      <c r="K5" s="7" t="n">
        <v>109990</v>
      </c>
      <c r="L5" s="4" t="n">
        <v>145</v>
      </c>
      <c r="M5" s="4" t="n">
        <v>12</v>
      </c>
      <c r="N5" s="5" t="s">
        <v>302</v>
      </c>
    </row>
    <row r="6" customFormat="false" ht="15" hidden="false" customHeight="false" outlineLevel="0" collapsed="false">
      <c r="A6" s="8" t="s">
        <v>303</v>
      </c>
      <c r="B6" s="9" t="s">
        <v>304</v>
      </c>
      <c r="C6" s="9" t="s">
        <v>299</v>
      </c>
      <c r="D6" s="9" t="s">
        <v>300</v>
      </c>
      <c r="E6" s="8" t="n">
        <v>2023</v>
      </c>
      <c r="F6" s="9" t="s">
        <v>305</v>
      </c>
      <c r="G6" s="8" t="n">
        <v>82</v>
      </c>
      <c r="H6" s="8" t="n">
        <v>602</v>
      </c>
      <c r="I6" s="8" t="n">
        <v>225</v>
      </c>
      <c r="J6" s="8" t="n">
        <v>1</v>
      </c>
      <c r="K6" s="11" t="n">
        <v>54990</v>
      </c>
      <c r="L6" s="8" t="n">
        <v>320</v>
      </c>
      <c r="M6" s="8" t="n">
        <v>45</v>
      </c>
      <c r="N6" s="9" t="s">
        <v>306</v>
      </c>
    </row>
    <row r="7" customFormat="false" ht="15" hidden="false" customHeight="false" outlineLevel="0" collapsed="false">
      <c r="A7" s="4" t="s">
        <v>307</v>
      </c>
      <c r="B7" s="5" t="s">
        <v>308</v>
      </c>
      <c r="C7" s="5" t="s">
        <v>309</v>
      </c>
      <c r="D7" s="5" t="s">
        <v>300</v>
      </c>
      <c r="E7" s="4" t="n">
        <v>2024</v>
      </c>
      <c r="F7" s="5" t="s">
        <v>310</v>
      </c>
      <c r="G7" s="4" t="n">
        <v>77.4</v>
      </c>
      <c r="H7" s="4" t="n">
        <v>614</v>
      </c>
      <c r="I7" s="4" t="n">
        <v>185</v>
      </c>
      <c r="J7" s="4" t="n">
        <v>0.8</v>
      </c>
      <c r="K7" s="7" t="n">
        <v>45450</v>
      </c>
      <c r="L7" s="4" t="n">
        <v>198</v>
      </c>
      <c r="M7" s="4" t="n">
        <v>30</v>
      </c>
      <c r="N7" s="5" t="s">
        <v>306</v>
      </c>
    </row>
    <row r="8" customFormat="false" ht="15" hidden="false" customHeight="false" outlineLevel="0" collapsed="false">
      <c r="A8" s="8" t="s">
        <v>311</v>
      </c>
      <c r="B8" s="9" t="s">
        <v>312</v>
      </c>
      <c r="C8" s="9" t="s">
        <v>313</v>
      </c>
      <c r="D8" s="9" t="s">
        <v>314</v>
      </c>
      <c r="E8" s="8" t="n">
        <v>2024</v>
      </c>
      <c r="F8" s="9" t="s">
        <v>315</v>
      </c>
      <c r="G8" s="8" t="n">
        <v>77.4</v>
      </c>
      <c r="H8" s="8" t="n">
        <v>586</v>
      </c>
      <c r="I8" s="8" t="n">
        <v>260</v>
      </c>
      <c r="J8" s="8" t="n">
        <v>0.8</v>
      </c>
      <c r="K8" s="11" t="n">
        <v>61450</v>
      </c>
      <c r="L8" s="8" t="n">
        <v>112</v>
      </c>
      <c r="M8" s="8" t="n">
        <v>8</v>
      </c>
      <c r="N8" s="9" t="s">
        <v>302</v>
      </c>
    </row>
    <row r="9" customFormat="false" ht="15" hidden="false" customHeight="false" outlineLevel="0" collapsed="false">
      <c r="A9" s="4" t="s">
        <v>316</v>
      </c>
      <c r="B9" s="5" t="s">
        <v>317</v>
      </c>
      <c r="C9" s="5" t="s">
        <v>318</v>
      </c>
      <c r="D9" s="5" t="s">
        <v>314</v>
      </c>
      <c r="E9" s="4" t="n">
        <v>2024</v>
      </c>
      <c r="F9" s="5" t="s">
        <v>319</v>
      </c>
      <c r="G9" s="4" t="n">
        <v>40.5</v>
      </c>
      <c r="H9" s="4" t="n">
        <v>465</v>
      </c>
      <c r="I9" s="4" t="n">
        <v>150</v>
      </c>
      <c r="J9" s="4" t="n">
        <v>1.5</v>
      </c>
      <c r="K9" s="7" t="n">
        <v>19990</v>
      </c>
      <c r="L9" s="4" t="n">
        <v>520</v>
      </c>
      <c r="M9" s="4" t="n">
        <v>72</v>
      </c>
      <c r="N9" s="5" t="s">
        <v>306</v>
      </c>
    </row>
    <row r="10" customFormat="false" ht="15" hidden="false" customHeight="false" outlineLevel="0" collapsed="false">
      <c r="A10" s="8" t="s">
        <v>320</v>
      </c>
      <c r="B10" s="9" t="s">
        <v>321</v>
      </c>
      <c r="C10" s="9" t="s">
        <v>322</v>
      </c>
      <c r="D10" s="9" t="s">
        <v>323</v>
      </c>
      <c r="E10" s="8" t="n">
        <v>2024</v>
      </c>
      <c r="F10" s="9" t="s">
        <v>324</v>
      </c>
      <c r="G10" s="8" t="n">
        <v>3.7</v>
      </c>
      <c r="H10" s="8" t="n">
        <v>146</v>
      </c>
      <c r="I10" s="8" t="n">
        <v>90</v>
      </c>
      <c r="J10" s="8" t="n">
        <v>5</v>
      </c>
      <c r="K10" s="11" t="n">
        <v>1499</v>
      </c>
      <c r="L10" s="8" t="n">
        <v>870</v>
      </c>
      <c r="M10" s="8" t="n">
        <v>150</v>
      </c>
      <c r="N10" s="9" t="s">
        <v>306</v>
      </c>
    </row>
    <row r="11" customFormat="false" ht="15" hidden="false" customHeight="false" outlineLevel="0" collapsed="false">
      <c r="A11" s="4" t="s">
        <v>325</v>
      </c>
      <c r="B11" s="5" t="s">
        <v>326</v>
      </c>
      <c r="C11" s="5" t="s">
        <v>327</v>
      </c>
      <c r="D11" s="5" t="s">
        <v>314</v>
      </c>
      <c r="E11" s="4" t="n">
        <v>2024</v>
      </c>
      <c r="F11" s="5" t="s">
        <v>328</v>
      </c>
      <c r="G11" s="4" t="n">
        <v>77</v>
      </c>
      <c r="H11" s="4" t="n">
        <v>521</v>
      </c>
      <c r="I11" s="4" t="n">
        <v>160</v>
      </c>
      <c r="J11" s="4" t="n">
        <v>0.8</v>
      </c>
      <c r="K11" s="7" t="n">
        <v>47995</v>
      </c>
      <c r="L11" s="4" t="n">
        <v>143</v>
      </c>
      <c r="M11" s="4" t="n">
        <v>22</v>
      </c>
      <c r="N11" s="5" t="s">
        <v>306</v>
      </c>
    </row>
    <row r="12" customFormat="false" ht="15" hidden="false" customHeight="false" outlineLevel="0" collapsed="false">
      <c r="A12" s="8" t="s">
        <v>329</v>
      </c>
      <c r="B12" s="9" t="s">
        <v>330</v>
      </c>
      <c r="C12" s="9" t="s">
        <v>331</v>
      </c>
      <c r="D12" s="9" t="s">
        <v>300</v>
      </c>
      <c r="E12" s="8" t="n">
        <v>2023</v>
      </c>
      <c r="F12" s="9" t="s">
        <v>332</v>
      </c>
      <c r="G12" s="8" t="n">
        <v>78</v>
      </c>
      <c r="H12" s="8" t="n">
        <v>542</v>
      </c>
      <c r="I12" s="8" t="n">
        <v>205</v>
      </c>
      <c r="J12" s="8" t="n">
        <v>1</v>
      </c>
      <c r="K12" s="11" t="n">
        <v>52995</v>
      </c>
      <c r="L12" s="8" t="n">
        <v>95</v>
      </c>
      <c r="M12" s="8" t="n">
        <v>15</v>
      </c>
      <c r="N12" s="9" t="s">
        <v>302</v>
      </c>
    </row>
    <row r="13" customFormat="false" ht="15" hidden="false" customHeight="false" outlineLevel="0" collapsed="false">
      <c r="A13" s="4" t="s">
        <v>333</v>
      </c>
      <c r="B13" s="5" t="s">
        <v>334</v>
      </c>
      <c r="C13" s="5" t="s">
        <v>335</v>
      </c>
      <c r="D13" s="5" t="s">
        <v>314</v>
      </c>
      <c r="E13" s="4" t="n">
        <v>2024</v>
      </c>
      <c r="F13" s="5" t="s">
        <v>336</v>
      </c>
      <c r="G13" s="4" t="n">
        <v>60.5</v>
      </c>
      <c r="H13" s="4" t="n">
        <v>480</v>
      </c>
      <c r="I13" s="4" t="n">
        <v>160</v>
      </c>
      <c r="J13" s="4" t="n">
        <v>1.2</v>
      </c>
      <c r="K13" s="7" t="n">
        <v>37990</v>
      </c>
      <c r="L13" s="4" t="n">
        <v>240</v>
      </c>
      <c r="M13" s="4" t="n">
        <v>38</v>
      </c>
      <c r="N13" s="5" t="s">
        <v>306</v>
      </c>
    </row>
    <row r="14" customFormat="false" ht="15" hidden="false" customHeight="false" outlineLevel="0" collapsed="false">
      <c r="A14" s="8" t="s">
        <v>337</v>
      </c>
      <c r="B14" s="9" t="s">
        <v>338</v>
      </c>
      <c r="C14" s="9" t="s">
        <v>339</v>
      </c>
      <c r="D14" s="9" t="s">
        <v>340</v>
      </c>
      <c r="E14" s="8" t="n">
        <v>2024</v>
      </c>
      <c r="F14" s="9" t="s">
        <v>341</v>
      </c>
      <c r="G14" s="8" t="n">
        <v>65</v>
      </c>
      <c r="H14" s="8" t="n">
        <v>547</v>
      </c>
      <c r="I14" s="8" t="n">
        <v>145</v>
      </c>
      <c r="J14" s="8" t="n">
        <v>1</v>
      </c>
      <c r="K14" s="11" t="n">
        <v>26500</v>
      </c>
      <c r="L14" s="8" t="n">
        <v>175</v>
      </c>
      <c r="M14" s="8" t="n">
        <v>28</v>
      </c>
      <c r="N14" s="9" t="s">
        <v>306</v>
      </c>
    </row>
    <row r="15" customFormat="false" ht="15" hidden="false" customHeight="false" outlineLevel="0" collapsed="false">
      <c r="A15" s="4" t="s">
        <v>342</v>
      </c>
      <c r="B15" s="5" t="s">
        <v>343</v>
      </c>
      <c r="C15" s="5" t="s">
        <v>344</v>
      </c>
      <c r="D15" s="5" t="s">
        <v>345</v>
      </c>
      <c r="E15" s="4" t="n">
        <v>2024</v>
      </c>
      <c r="F15" s="5" t="s">
        <v>346</v>
      </c>
      <c r="G15" s="4" t="n">
        <v>135</v>
      </c>
      <c r="H15" s="4" t="n">
        <v>560</v>
      </c>
      <c r="I15" s="4" t="n">
        <v>200</v>
      </c>
      <c r="J15" s="4" t="n">
        <v>0.8</v>
      </c>
      <c r="K15" s="7" t="n">
        <v>73000</v>
      </c>
      <c r="L15" s="4" t="n">
        <v>65</v>
      </c>
      <c r="M15" s="4" t="n">
        <v>6</v>
      </c>
      <c r="N15" s="5" t="s">
        <v>302</v>
      </c>
    </row>
    <row r="16" customFormat="false" ht="15" hidden="false" customHeight="false" outlineLevel="0" collapsed="false">
      <c r="A16" s="8" t="s">
        <v>347</v>
      </c>
      <c r="B16" s="9" t="s">
        <v>348</v>
      </c>
      <c r="C16" s="9" t="s">
        <v>349</v>
      </c>
      <c r="D16" s="9" t="s">
        <v>314</v>
      </c>
      <c r="E16" s="8" t="n">
        <v>2024</v>
      </c>
      <c r="F16" s="9" t="s">
        <v>350</v>
      </c>
      <c r="G16" s="8" t="n">
        <v>51</v>
      </c>
      <c r="H16" s="8" t="n">
        <v>461</v>
      </c>
      <c r="I16" s="8" t="n">
        <v>140</v>
      </c>
      <c r="J16" s="8" t="n">
        <v>1.5</v>
      </c>
      <c r="K16" s="11" t="n">
        <v>22000</v>
      </c>
      <c r="L16" s="8" t="n">
        <v>310</v>
      </c>
      <c r="M16" s="8" t="n">
        <v>55</v>
      </c>
      <c r="N16" s="9" t="s">
        <v>306</v>
      </c>
    </row>
    <row r="17" customFormat="false" ht="15" hidden="false" customHeight="false" outlineLevel="0" collapsed="false">
      <c r="A17" s="4" t="s">
        <v>351</v>
      </c>
      <c r="B17" s="5" t="s">
        <v>352</v>
      </c>
      <c r="C17" s="5" t="s">
        <v>353</v>
      </c>
      <c r="D17" s="5" t="s">
        <v>323</v>
      </c>
      <c r="E17" s="4" t="n">
        <v>2024</v>
      </c>
      <c r="F17" s="5" t="s">
        <v>354</v>
      </c>
      <c r="G17" s="4" t="n">
        <v>4</v>
      </c>
      <c r="H17" s="4" t="n">
        <v>181</v>
      </c>
      <c r="I17" s="4" t="n">
        <v>116</v>
      </c>
      <c r="J17" s="4" t="n">
        <v>6.5</v>
      </c>
      <c r="K17" s="7" t="n">
        <v>1499</v>
      </c>
      <c r="L17" s="4" t="n">
        <v>960</v>
      </c>
      <c r="M17" s="4" t="n">
        <v>200</v>
      </c>
      <c r="N17" s="5" t="s">
        <v>306</v>
      </c>
    </row>
    <row r="18" customFormat="false" ht="15" hidden="false" customHeight="false" outlineLevel="0" collapsed="false">
      <c r="A18" s="8" t="s">
        <v>355</v>
      </c>
      <c r="B18" s="9" t="s">
        <v>356</v>
      </c>
      <c r="C18" s="9" t="s">
        <v>357</v>
      </c>
      <c r="D18" s="9" t="s">
        <v>300</v>
      </c>
      <c r="E18" s="8" t="n">
        <v>2024</v>
      </c>
      <c r="F18" s="9" t="s">
        <v>358</v>
      </c>
      <c r="G18" s="8" t="n">
        <v>93.4</v>
      </c>
      <c r="H18" s="8" t="n">
        <v>488</v>
      </c>
      <c r="I18" s="8" t="n">
        <v>245</v>
      </c>
      <c r="J18" s="8" t="n">
        <v>0.6</v>
      </c>
      <c r="K18" s="11" t="n">
        <v>104900</v>
      </c>
      <c r="L18" s="8" t="n">
        <v>48</v>
      </c>
      <c r="M18" s="8" t="n">
        <v>5</v>
      </c>
      <c r="N18" s="9" t="s">
        <v>359</v>
      </c>
    </row>
    <row r="19" customFormat="false" ht="15" hidden="false" customHeight="false" outlineLevel="0" collapsed="false">
      <c r="A19" s="4" t="s">
        <v>360</v>
      </c>
      <c r="B19" s="5" t="s">
        <v>361</v>
      </c>
      <c r="C19" s="5" t="s">
        <v>362</v>
      </c>
      <c r="D19" s="5" t="s">
        <v>314</v>
      </c>
      <c r="E19" s="4" t="n">
        <v>2024</v>
      </c>
      <c r="F19" s="5" t="s">
        <v>363</v>
      </c>
      <c r="G19" s="4" t="n">
        <v>111.5</v>
      </c>
      <c r="H19" s="4" t="n">
        <v>630</v>
      </c>
      <c r="I19" s="4" t="n">
        <v>250</v>
      </c>
      <c r="J19" s="4" t="n">
        <v>0.7</v>
      </c>
      <c r="K19" s="7" t="n">
        <v>119300</v>
      </c>
      <c r="L19" s="4" t="n">
        <v>32</v>
      </c>
      <c r="M19" s="4" t="n">
        <v>4</v>
      </c>
      <c r="N19" s="5" t="s">
        <v>359</v>
      </c>
    </row>
    <row r="20" customFormat="false" ht="15" hidden="false" customHeight="false" outlineLevel="0" collapsed="false">
      <c r="A20" s="8" t="s">
        <v>364</v>
      </c>
      <c r="B20" s="9" t="s">
        <v>365</v>
      </c>
      <c r="C20" s="9" t="s">
        <v>366</v>
      </c>
      <c r="D20" s="9" t="s">
        <v>314</v>
      </c>
      <c r="E20" s="8" t="n">
        <v>2024</v>
      </c>
      <c r="F20" s="9" t="s">
        <v>367</v>
      </c>
      <c r="G20" s="8" t="n">
        <v>87</v>
      </c>
      <c r="H20" s="8" t="n">
        <v>610</v>
      </c>
      <c r="I20" s="8" t="n">
        <v>160</v>
      </c>
      <c r="J20" s="8" t="n">
        <v>0.8</v>
      </c>
      <c r="K20" s="11" t="n">
        <v>49245</v>
      </c>
      <c r="L20" s="8" t="n">
        <v>120</v>
      </c>
      <c r="M20" s="8" t="n">
        <v>18</v>
      </c>
      <c r="N20" s="9" t="s">
        <v>302</v>
      </c>
    </row>
    <row r="21" customFormat="false" ht="15" hidden="false" customHeight="false" outlineLevel="0" collapsed="false">
      <c r="A21" s="4" t="s">
        <v>368</v>
      </c>
      <c r="B21" s="5" t="s">
        <v>369</v>
      </c>
      <c r="C21" s="5" t="s">
        <v>370</v>
      </c>
      <c r="D21" s="5" t="s">
        <v>345</v>
      </c>
      <c r="E21" s="4" t="n">
        <v>2024</v>
      </c>
      <c r="F21" s="5" t="s">
        <v>371</v>
      </c>
      <c r="G21" s="4" t="n">
        <v>131</v>
      </c>
      <c r="H21" s="4" t="n">
        <v>515</v>
      </c>
      <c r="I21" s="4" t="n">
        <v>180</v>
      </c>
      <c r="J21" s="4" t="n">
        <v>0.8</v>
      </c>
      <c r="K21" s="7" t="n">
        <v>55974</v>
      </c>
      <c r="L21" s="4" t="n">
        <v>98</v>
      </c>
      <c r="M21" s="4" t="n">
        <v>10</v>
      </c>
      <c r="N21" s="5" t="s">
        <v>302</v>
      </c>
    </row>
    <row r="22" customFormat="false" ht="15" hidden="false" customHeight="false" outlineLevel="0" collapsed="false">
      <c r="A22" s="8" t="s">
        <v>372</v>
      </c>
      <c r="B22" s="9" t="s">
        <v>373</v>
      </c>
      <c r="C22" s="9" t="s">
        <v>309</v>
      </c>
      <c r="D22" s="9" t="s">
        <v>314</v>
      </c>
      <c r="E22" s="8" t="n">
        <v>2024</v>
      </c>
      <c r="F22" s="9" t="s">
        <v>374</v>
      </c>
      <c r="G22" s="8" t="n">
        <v>65.4</v>
      </c>
      <c r="H22" s="8" t="n">
        <v>490</v>
      </c>
      <c r="I22" s="8" t="n">
        <v>167</v>
      </c>
      <c r="J22" s="8" t="n">
        <v>0.8</v>
      </c>
      <c r="K22" s="11" t="n">
        <v>33550</v>
      </c>
      <c r="L22" s="8" t="n">
        <v>185</v>
      </c>
      <c r="M22" s="8" t="n">
        <v>27</v>
      </c>
      <c r="N22" s="9" t="s">
        <v>306</v>
      </c>
    </row>
    <row r="23" customFormat="false" ht="15" hidden="false" customHeight="false" outlineLevel="0" collapsed="false">
      <c r="A23" s="4" t="s">
        <v>375</v>
      </c>
      <c r="B23" s="5" t="s">
        <v>376</v>
      </c>
      <c r="C23" s="5" t="s">
        <v>377</v>
      </c>
      <c r="D23" s="5" t="s">
        <v>300</v>
      </c>
      <c r="E23" s="4" t="n">
        <v>2024</v>
      </c>
      <c r="F23" s="5" t="s">
        <v>378</v>
      </c>
      <c r="G23" s="4" t="n">
        <v>88</v>
      </c>
      <c r="H23" s="4" t="n">
        <v>671</v>
      </c>
      <c r="I23" s="4" t="n">
        <v>270</v>
      </c>
      <c r="J23" s="4" t="n">
        <v>0.6</v>
      </c>
      <c r="K23" s="7" t="n">
        <v>69900</v>
      </c>
      <c r="L23" s="4" t="n">
        <v>55</v>
      </c>
      <c r="M23" s="4" t="n">
        <v>9</v>
      </c>
      <c r="N23" s="5" t="s">
        <v>302</v>
      </c>
    </row>
    <row r="24" customFormat="false" ht="15" hidden="false" customHeight="false" outlineLevel="0" collapsed="false">
      <c r="A24" s="8" t="s">
        <v>379</v>
      </c>
      <c r="B24" s="9" t="s">
        <v>380</v>
      </c>
      <c r="C24" s="9" t="s">
        <v>381</v>
      </c>
      <c r="D24" s="9" t="s">
        <v>300</v>
      </c>
      <c r="E24" s="8" t="n">
        <v>2024</v>
      </c>
      <c r="F24" s="9" t="s">
        <v>382</v>
      </c>
      <c r="G24" s="8" t="n">
        <v>107.8</v>
      </c>
      <c r="H24" s="8" t="n">
        <v>784</v>
      </c>
      <c r="I24" s="8" t="n">
        <v>210</v>
      </c>
      <c r="J24" s="8" t="n">
        <v>0.7</v>
      </c>
      <c r="K24" s="11" t="n">
        <v>104400</v>
      </c>
      <c r="L24" s="8" t="n">
        <v>40</v>
      </c>
      <c r="M24" s="8" t="n">
        <v>6</v>
      </c>
      <c r="N24" s="9" t="s">
        <v>302</v>
      </c>
    </row>
    <row r="25" customFormat="false" ht="15" hidden="false" customHeight="false" outlineLevel="0" collapsed="false">
      <c r="A25" s="4" t="s">
        <v>383</v>
      </c>
      <c r="B25" s="5" t="s">
        <v>384</v>
      </c>
      <c r="C25" s="5" t="s">
        <v>385</v>
      </c>
      <c r="D25" s="5" t="s">
        <v>314</v>
      </c>
      <c r="E25" s="4" t="n">
        <v>2024</v>
      </c>
      <c r="F25" s="5" t="s">
        <v>386</v>
      </c>
      <c r="G25" s="4" t="n">
        <v>77</v>
      </c>
      <c r="H25" s="4" t="n">
        <v>528</v>
      </c>
      <c r="I25" s="4" t="n">
        <v>160</v>
      </c>
      <c r="J25" s="4" t="n">
        <v>0.8</v>
      </c>
      <c r="K25" s="7" t="n">
        <v>44900</v>
      </c>
      <c r="L25" s="4" t="n">
        <v>130</v>
      </c>
      <c r="M25" s="4" t="n">
        <v>20</v>
      </c>
      <c r="N25" s="5" t="s">
        <v>302</v>
      </c>
    </row>
    <row r="26" customFormat="false" ht="15" hidden="false" customHeight="false" outlineLevel="0" collapsed="false">
      <c r="A26" s="8" t="s">
        <v>387</v>
      </c>
      <c r="B26" s="9" t="s">
        <v>388</v>
      </c>
      <c r="C26" s="9" t="s">
        <v>389</v>
      </c>
      <c r="D26" s="9" t="s">
        <v>314</v>
      </c>
      <c r="E26" s="8" t="n">
        <v>2024</v>
      </c>
      <c r="F26" s="9" t="s">
        <v>390</v>
      </c>
      <c r="G26" s="8" t="n">
        <v>69</v>
      </c>
      <c r="H26" s="8" t="n">
        <v>525</v>
      </c>
      <c r="I26" s="8" t="n">
        <v>180</v>
      </c>
      <c r="J26" s="8" t="n">
        <v>0.8</v>
      </c>
      <c r="K26" s="11" t="n">
        <v>56695</v>
      </c>
      <c r="L26" s="8" t="n">
        <v>88</v>
      </c>
      <c r="M26" s="8" t="n">
        <v>12</v>
      </c>
      <c r="N26" s="9" t="s">
        <v>302</v>
      </c>
    </row>
    <row r="27" customFormat="false" ht="15" hidden="false" customHeight="false" outlineLevel="0" collapsed="false">
      <c r="A27" s="4" t="s">
        <v>391</v>
      </c>
      <c r="B27" s="5" t="s">
        <v>392</v>
      </c>
      <c r="C27" s="5" t="s">
        <v>393</v>
      </c>
      <c r="D27" s="5" t="s">
        <v>300</v>
      </c>
      <c r="E27" s="4" t="n">
        <v>2024</v>
      </c>
      <c r="F27" s="5" t="s">
        <v>394</v>
      </c>
      <c r="G27" s="4" t="n">
        <v>99.6</v>
      </c>
      <c r="H27" s="4" t="n">
        <v>668</v>
      </c>
      <c r="I27" s="4" t="n">
        <v>265</v>
      </c>
      <c r="J27" s="4" t="n">
        <v>0.6</v>
      </c>
      <c r="K27" s="7" t="n">
        <v>42900</v>
      </c>
      <c r="L27" s="4" t="n">
        <v>200</v>
      </c>
      <c r="M27" s="4" t="n">
        <v>35</v>
      </c>
      <c r="N27" s="5" t="s">
        <v>306</v>
      </c>
    </row>
    <row r="28" customFormat="false" ht="15" hidden="false" customHeight="false" outlineLevel="0" collapsed="false">
      <c r="A28" s="8" t="s">
        <v>395</v>
      </c>
      <c r="B28" s="9" t="s">
        <v>396</v>
      </c>
      <c r="C28" s="9" t="s">
        <v>397</v>
      </c>
      <c r="D28" s="9" t="s">
        <v>314</v>
      </c>
      <c r="E28" s="8" t="n">
        <v>2024</v>
      </c>
      <c r="F28" s="9" t="s">
        <v>398</v>
      </c>
      <c r="G28" s="8" t="n">
        <v>79</v>
      </c>
      <c r="H28" s="8" t="n">
        <v>656</v>
      </c>
      <c r="I28" s="8" t="n">
        <v>201</v>
      </c>
      <c r="J28" s="8" t="n">
        <v>0.7</v>
      </c>
      <c r="K28" s="11" t="n">
        <v>30600</v>
      </c>
      <c r="L28" s="8" t="n">
        <v>160</v>
      </c>
      <c r="M28" s="8" t="n">
        <v>22</v>
      </c>
      <c r="N28" s="9" t="s">
        <v>306</v>
      </c>
    </row>
    <row r="29" customFormat="false" ht="15" hidden="false" customHeight="false" outlineLevel="0" collapsed="false">
      <c r="A29" s="4" t="s">
        <v>399</v>
      </c>
      <c r="B29" s="5" t="s">
        <v>400</v>
      </c>
      <c r="C29" s="5" t="s">
        <v>401</v>
      </c>
      <c r="D29" s="5" t="s">
        <v>314</v>
      </c>
      <c r="E29" s="4" t="n">
        <v>2024</v>
      </c>
      <c r="F29" s="5" t="s">
        <v>402</v>
      </c>
      <c r="G29" s="4" t="n">
        <v>85</v>
      </c>
      <c r="H29" s="4" t="n">
        <v>466</v>
      </c>
      <c r="I29" s="4" t="n">
        <v>161</v>
      </c>
      <c r="J29" s="4" t="n">
        <v>0.8</v>
      </c>
      <c r="K29" s="7" t="n">
        <v>47400</v>
      </c>
      <c r="L29" s="4" t="n">
        <v>110</v>
      </c>
      <c r="M29" s="4" t="n">
        <v>16</v>
      </c>
      <c r="N29" s="5" t="s">
        <v>302</v>
      </c>
    </row>
    <row r="30" customFormat="false" ht="15" hidden="false" customHeight="false" outlineLevel="0" collapsed="false">
      <c r="A30" s="8" t="s">
        <v>403</v>
      </c>
      <c r="B30" s="9" t="s">
        <v>404</v>
      </c>
      <c r="C30" s="9" t="s">
        <v>405</v>
      </c>
      <c r="D30" s="9" t="s">
        <v>314</v>
      </c>
      <c r="E30" s="8" t="n">
        <v>2024</v>
      </c>
      <c r="F30" s="9" t="s">
        <v>406</v>
      </c>
      <c r="G30" s="8" t="n">
        <v>72.8</v>
      </c>
      <c r="H30" s="8" t="n">
        <v>500</v>
      </c>
      <c r="I30" s="8" t="n">
        <v>160</v>
      </c>
      <c r="J30" s="8" t="n">
        <v>0.8</v>
      </c>
      <c r="K30" s="11" t="n">
        <v>42000</v>
      </c>
      <c r="L30" s="8" t="n">
        <v>145</v>
      </c>
      <c r="M30" s="8" t="n">
        <v>24</v>
      </c>
      <c r="N30" s="9" t="s">
        <v>306</v>
      </c>
    </row>
    <row r="31" customFormat="false" ht="15" hidden="false" customHeight="false" outlineLevel="0" collapsed="false">
      <c r="A31" s="4" t="s">
        <v>407</v>
      </c>
      <c r="B31" s="5" t="s">
        <v>408</v>
      </c>
      <c r="C31" s="5" t="s">
        <v>409</v>
      </c>
      <c r="D31" s="5" t="s">
        <v>345</v>
      </c>
      <c r="E31" s="4" t="n">
        <v>2024</v>
      </c>
      <c r="F31" s="5" t="s">
        <v>410</v>
      </c>
      <c r="G31" s="4" t="n">
        <v>212</v>
      </c>
      <c r="H31" s="4" t="n">
        <v>563</v>
      </c>
      <c r="I31" s="4" t="n">
        <v>170</v>
      </c>
      <c r="J31" s="4" t="n">
        <v>0.8</v>
      </c>
      <c r="K31" s="7" t="n">
        <v>89995</v>
      </c>
      <c r="L31" s="4" t="n">
        <v>35</v>
      </c>
      <c r="M31" s="4" t="n">
        <v>3</v>
      </c>
      <c r="N31" s="5" t="s">
        <v>359</v>
      </c>
    </row>
    <row r="32" customFormat="false" ht="15" hidden="false" customHeight="false" outlineLevel="0" collapsed="false">
      <c r="A32" s="8" t="s">
        <v>411</v>
      </c>
      <c r="B32" s="9" t="s">
        <v>412</v>
      </c>
      <c r="C32" s="9" t="s">
        <v>413</v>
      </c>
      <c r="D32" s="9" t="s">
        <v>314</v>
      </c>
      <c r="E32" s="8" t="n">
        <v>2023</v>
      </c>
      <c r="F32" s="9" t="s">
        <v>414</v>
      </c>
      <c r="G32" s="8" t="n">
        <v>113</v>
      </c>
      <c r="H32" s="8" t="n">
        <v>707</v>
      </c>
      <c r="I32" s="8" t="n">
        <v>200</v>
      </c>
      <c r="J32" s="8" t="n">
        <v>0.7</v>
      </c>
      <c r="K32" s="11" t="n">
        <v>68999</v>
      </c>
      <c r="L32" s="8" t="n">
        <v>25</v>
      </c>
      <c r="M32" s="8" t="n">
        <v>2</v>
      </c>
      <c r="N32" s="9" t="s">
        <v>359</v>
      </c>
    </row>
    <row r="33" customFormat="false" ht="15" hidden="false" customHeight="false" outlineLevel="0" collapsed="false">
      <c r="A33" s="4" t="s">
        <v>415</v>
      </c>
      <c r="B33" s="5" t="s">
        <v>416</v>
      </c>
      <c r="C33" s="5" t="s">
        <v>318</v>
      </c>
      <c r="D33" s="5" t="s">
        <v>340</v>
      </c>
      <c r="E33" s="4" t="n">
        <v>2024</v>
      </c>
      <c r="F33" s="5" t="s">
        <v>319</v>
      </c>
      <c r="G33" s="4" t="n">
        <v>24</v>
      </c>
      <c r="H33" s="4" t="n">
        <v>315</v>
      </c>
      <c r="I33" s="4" t="n">
        <v>120</v>
      </c>
      <c r="J33" s="4" t="n">
        <v>3.5</v>
      </c>
      <c r="K33" s="7" t="n">
        <v>12990</v>
      </c>
      <c r="L33" s="4" t="n">
        <v>680</v>
      </c>
      <c r="M33" s="4" t="n">
        <v>105</v>
      </c>
      <c r="N33" s="5" t="s">
        <v>306</v>
      </c>
    </row>
    <row r="34" customFormat="false" ht="15" hidden="false" customHeight="false" outlineLevel="0" collapsed="false">
      <c r="A34" s="8" t="s">
        <v>417</v>
      </c>
      <c r="B34" s="9" t="s">
        <v>418</v>
      </c>
      <c r="C34" s="9" t="s">
        <v>419</v>
      </c>
      <c r="D34" s="9" t="s">
        <v>323</v>
      </c>
      <c r="E34" s="8" t="n">
        <v>2024</v>
      </c>
      <c r="F34" s="9" t="s">
        <v>420</v>
      </c>
      <c r="G34" s="8" t="n">
        <v>3</v>
      </c>
      <c r="H34" s="8" t="n">
        <v>126</v>
      </c>
      <c r="I34" s="8" t="n">
        <v>73</v>
      </c>
      <c r="J34" s="8" t="n">
        <v>5</v>
      </c>
      <c r="K34" s="11" t="n">
        <v>1099</v>
      </c>
      <c r="L34" s="8" t="n">
        <v>720</v>
      </c>
      <c r="M34" s="8" t="n">
        <v>130</v>
      </c>
      <c r="N34" s="9" t="s">
        <v>306</v>
      </c>
    </row>
    <row r="35" customFormat="false" ht="15" hidden="false" customHeight="true" outlineLevel="0" collapsed="false">
      <c r="A35" s="20" t="s">
        <v>150</v>
      </c>
      <c r="B35" s="20"/>
      <c r="C35" s="20"/>
      <c r="D35" s="20"/>
      <c r="E35" s="20"/>
      <c r="F35" s="20"/>
      <c r="G35" s="21" t="n">
        <f aca="false">AVERAGE(G3:G34)</f>
        <v>79</v>
      </c>
      <c r="H35" s="21" t="n">
        <f aca="false">AVERAGE(H3:H34)</f>
        <v>519.966666666667</v>
      </c>
      <c r="I35" s="21" t="n">
        <f aca="false">AVERAGE(I3:I34)</f>
        <v>181.933333333333</v>
      </c>
      <c r="J35" s="3"/>
      <c r="K35" s="21" t="n">
        <f aca="false">AVERAGE(K3:K34)</f>
        <v>51006.5</v>
      </c>
      <c r="L35" s="21" t="n">
        <f aca="false">SUM(L3:L34)</f>
        <v>7024</v>
      </c>
      <c r="M35" s="21" t="n">
        <f aca="false">SUM(M3:M34)</f>
        <v>1129</v>
      </c>
      <c r="N35" s="3"/>
    </row>
  </sheetData>
  <mergeCells count="2">
    <mergeCell ref="A1:N1"/>
    <mergeCell ref="A35:F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2026-05-08T10:49:26Z</dcterms:created>
  <dc:creator>openpyxl</dc:creator>
  <dc:description/>
  <dc:language>en-US</dc:language>
  <cp:lastModifiedBy/>
  <dcterms:modified xsi:type="dcterms:W3CDTF">2026-05-08T10:49:26Z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